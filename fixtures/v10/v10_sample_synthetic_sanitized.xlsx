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3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bookViews>
    <workbookView activeTab="2"/>
  </bookViews>
  <sheets>
    <sheet name="Overview" sheetId="1" r:id="rId1"/>
    <sheet name="Arrangements" sheetId="2" r:id="rId2"/>
    <sheet name="Annotations" sheetId="3" r:id="rId3"/>
    <sheet name="Master Registry" sheetId="4" r:id="rId4"/>
  </sheets>
  <definedNames>
    <definedName name="_xlnm._FilterDatabase" localSheetId="2" hidden="1">Annotations!$A$2:$F$47</definedName>
    <definedName name="_xlnm._FilterDatabase" localSheetId="1" hidden="1">Arrangements!$A$2:$H$92</definedName>
    <definedName name="_xlnm._FilterDatabase" localSheetId="3" hidden="1">'Master Registry'!$A$2:$S$152</definedName>
    <definedName name="_xlnm._FilterDatabase" localSheetId="0" hidden="1">Overview!$A$2:$O$62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N32" i="1"/>
  <c r="L32" i="1" s="1"/>
  <c r="M32" i="1" s="1"/>
  <c r="N31" i="1"/>
  <c r="L31" i="1" s="1"/>
  <c r="M31" i="1" s="1"/>
  <c r="N30" i="1"/>
  <c r="L30" i="1" s="1"/>
  <c r="M30" i="1" s="1"/>
  <c r="N29" i="1"/>
  <c r="L29" i="1" s="1"/>
  <c r="M29" i="1" s="1"/>
  <c r="N28" i="1"/>
  <c r="L28" i="1" s="1"/>
  <c r="M28" i="1" s="1"/>
  <c r="N27" i="1"/>
  <c r="L27" i="1" s="1"/>
  <c r="M27" i="1" s="1"/>
  <c r="N26" i="1"/>
  <c r="L26" i="1" s="1"/>
  <c r="M26" i="1" s="1"/>
  <c r="N25" i="1"/>
  <c r="L25" i="1" s="1"/>
  <c r="M25" i="1" s="1"/>
  <c r="N24" i="1"/>
  <c r="L24" i="1" s="1"/>
  <c r="M24" i="1" s="1"/>
  <c r="N23" i="1"/>
  <c r="L23" i="1" s="1"/>
  <c r="M23" i="1" s="1"/>
  <c r="N22" i="1"/>
  <c r="L22" i="1" s="1"/>
  <c r="M22" i="1" s="1"/>
  <c r="N21" i="1"/>
  <c r="L21" i="1" s="1"/>
  <c r="M21" i="1" s="1"/>
  <c r="N20" i="1"/>
  <c r="L20" i="1" s="1"/>
  <c r="M20" i="1" s="1"/>
  <c r="N19" i="1"/>
  <c r="L19" i="1" s="1"/>
  <c r="M19" i="1" s="1"/>
  <c r="N18" i="1"/>
  <c r="L18" i="1" s="1"/>
  <c r="M18" i="1" s="1"/>
  <c r="N17" i="1"/>
  <c r="L17" i="1" s="1"/>
  <c r="M17" i="1" s="1"/>
  <c r="N16" i="1"/>
  <c r="L16" i="1" s="1"/>
  <c r="M16" i="1" s="1"/>
  <c r="N15" i="1"/>
  <c r="L15" i="1" s="1"/>
  <c r="M15" i="1" s="1"/>
  <c r="N14" i="1"/>
  <c r="L14" i="1" s="1"/>
  <c r="M14" i="1" s="1"/>
  <c r="N13" i="1"/>
  <c r="L13" i="1" s="1"/>
  <c r="M13" i="1" s="1"/>
  <c r="N12" i="1"/>
  <c r="L12" i="1" s="1"/>
  <c r="M12" i="1" s="1"/>
  <c r="N11" i="1"/>
  <c r="L11" i="1" s="1"/>
  <c r="M11" i="1" s="1"/>
  <c r="N10" i="1"/>
  <c r="L10" i="1" s="1"/>
  <c r="M10" i="1" s="1"/>
  <c r="N9" i="1"/>
  <c r="L9" i="1" s="1"/>
  <c r="M9" i="1" s="1"/>
  <c r="N8" i="1"/>
  <c r="L8" i="1" s="1"/>
  <c r="M8" i="1" s="1"/>
  <c r="N7" i="1"/>
  <c r="L7" i="1" s="1"/>
  <c r="M7" i="1" s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AM47" i="3"/>
  <c r="AK47" i="3"/>
  <c r="AJ47" i="3"/>
  <c r="U47" i="3" s="1"/>
  <c r="AH47" i="3"/>
  <c r="AF47" i="3"/>
  <c r="AE47" i="3"/>
  <c r="AC47" i="3"/>
  <c r="AA47" i="3"/>
  <c r="Z47" i="3"/>
  <c r="AM46" i="3"/>
  <c r="AK46" i="3"/>
  <c r="AJ46" i="3"/>
  <c r="AH46" i="3"/>
  <c r="AF46" i="3"/>
  <c r="AE46" i="3"/>
  <c r="AC46" i="3"/>
  <c r="AA46" i="3"/>
  <c r="Z46" i="3"/>
  <c r="AM45" i="3"/>
  <c r="AK45" i="3"/>
  <c r="AJ45" i="3"/>
  <c r="AH45" i="3"/>
  <c r="AF45" i="3"/>
  <c r="AE45" i="3"/>
  <c r="AC45" i="3"/>
  <c r="AA45" i="3"/>
  <c r="Z45" i="3"/>
  <c r="AM44" i="3"/>
  <c r="AK44" i="3"/>
  <c r="AJ44" i="3"/>
  <c r="AH44" i="3"/>
  <c r="AF44" i="3"/>
  <c r="AE44" i="3"/>
  <c r="AC44" i="3"/>
  <c r="AA44" i="3"/>
  <c r="Z44" i="3"/>
  <c r="AM43" i="3"/>
  <c r="AK43" i="3"/>
  <c r="AJ43" i="3"/>
  <c r="AH43" i="3"/>
  <c r="AF43" i="3"/>
  <c r="AE43" i="3"/>
  <c r="AC43" i="3"/>
  <c r="AA43" i="3"/>
  <c r="Z43" i="3"/>
  <c r="AM42" i="3"/>
  <c r="AK42" i="3"/>
  <c r="AJ42" i="3"/>
  <c r="AH42" i="3"/>
  <c r="AF42" i="3"/>
  <c r="AE42" i="3"/>
  <c r="AC42" i="3"/>
  <c r="AA42" i="3"/>
  <c r="Z42" i="3"/>
  <c r="AM41" i="3"/>
  <c r="AK41" i="3"/>
  <c r="AJ41" i="3"/>
  <c r="AH41" i="3"/>
  <c r="AF41" i="3"/>
  <c r="AE41" i="3"/>
  <c r="AC41" i="3"/>
  <c r="AA41" i="3"/>
  <c r="Z41" i="3"/>
  <c r="U41" i="3"/>
  <c r="AM40" i="3"/>
  <c r="AK40" i="3"/>
  <c r="AJ40" i="3"/>
  <c r="AH40" i="3"/>
  <c r="AF40" i="3"/>
  <c r="AE40" i="3"/>
  <c r="AC40" i="3"/>
  <c r="AA40" i="3"/>
  <c r="Z40" i="3"/>
  <c r="AM39" i="3"/>
  <c r="AK39" i="3"/>
  <c r="AJ39" i="3"/>
  <c r="AH39" i="3"/>
  <c r="AF39" i="3"/>
  <c r="AE39" i="3"/>
  <c r="AC39" i="3"/>
  <c r="AA39" i="3"/>
  <c r="Z39" i="3"/>
  <c r="AM38" i="3"/>
  <c r="AK38" i="3"/>
  <c r="AJ38" i="3"/>
  <c r="AH38" i="3"/>
  <c r="AF38" i="3"/>
  <c r="AE38" i="3"/>
  <c r="AC38" i="3"/>
  <c r="AA38" i="3"/>
  <c r="Z38" i="3"/>
  <c r="AM37" i="3"/>
  <c r="AK37" i="3"/>
  <c r="AJ37" i="3"/>
  <c r="AH37" i="3"/>
  <c r="AF37" i="3"/>
  <c r="AE37" i="3"/>
  <c r="AC37" i="3"/>
  <c r="AA37" i="3"/>
  <c r="Z37" i="3"/>
  <c r="AM36" i="3"/>
  <c r="AK36" i="3"/>
  <c r="AJ36" i="3"/>
  <c r="AH36" i="3"/>
  <c r="AF36" i="3"/>
  <c r="AE36" i="3"/>
  <c r="AC36" i="3"/>
  <c r="AA36" i="3"/>
  <c r="Z36" i="3"/>
  <c r="AM35" i="3"/>
  <c r="AK35" i="3"/>
  <c r="AJ35" i="3"/>
  <c r="AH35" i="3"/>
  <c r="AF35" i="3"/>
  <c r="AE35" i="3"/>
  <c r="AC35" i="3"/>
  <c r="AA35" i="3"/>
  <c r="Z35" i="3"/>
  <c r="AM34" i="3"/>
  <c r="AK34" i="3"/>
  <c r="AJ34" i="3"/>
  <c r="AH34" i="3"/>
  <c r="AF34" i="3"/>
  <c r="AE34" i="3"/>
  <c r="AM33" i="3"/>
  <c r="AK33" i="3"/>
  <c r="AJ33" i="3"/>
  <c r="AH33" i="3"/>
  <c r="AF33" i="3"/>
  <c r="AE33" i="3"/>
  <c r="AM32" i="3"/>
  <c r="AK32" i="3"/>
  <c r="AJ32" i="3"/>
  <c r="U32" i="3" s="1"/>
  <c r="AH32" i="3"/>
  <c r="AF32" i="3"/>
  <c r="AE32" i="3"/>
  <c r="AM31" i="3"/>
  <c r="AK31" i="3"/>
  <c r="AJ31" i="3"/>
  <c r="AH31" i="3"/>
  <c r="AF31" i="3"/>
  <c r="AE31" i="3"/>
  <c r="AM30" i="3"/>
  <c r="AK30" i="3"/>
  <c r="AJ30" i="3"/>
  <c r="AH30" i="3"/>
  <c r="AF30" i="3"/>
  <c r="AE30" i="3"/>
  <c r="AM29" i="3"/>
  <c r="AK29" i="3"/>
  <c r="AJ29" i="3"/>
  <c r="AH29" i="3"/>
  <c r="AF29" i="3"/>
  <c r="AE29" i="3"/>
  <c r="AM28" i="3"/>
  <c r="AK28" i="3"/>
  <c r="AJ28" i="3"/>
  <c r="AH28" i="3"/>
  <c r="AF28" i="3"/>
  <c r="AE28" i="3"/>
  <c r="AM27" i="3"/>
  <c r="AK27" i="3"/>
  <c r="AJ27" i="3"/>
  <c r="AH27" i="3"/>
  <c r="AF27" i="3"/>
  <c r="AE27" i="3"/>
  <c r="AM26" i="3"/>
  <c r="AK26" i="3"/>
  <c r="AJ26" i="3"/>
  <c r="AH26" i="3"/>
  <c r="AF26" i="3"/>
  <c r="AE26" i="3"/>
  <c r="AM25" i="3"/>
  <c r="AK25" i="3"/>
  <c r="AJ25" i="3"/>
  <c r="AH25" i="3"/>
  <c r="AF25" i="3"/>
  <c r="AE25" i="3"/>
  <c r="AM24" i="3"/>
  <c r="AK24" i="3"/>
  <c r="AJ24" i="3"/>
  <c r="U24" i="3" s="1"/>
  <c r="AH24" i="3"/>
  <c r="AF24" i="3"/>
  <c r="AE24" i="3"/>
  <c r="AM23" i="3"/>
  <c r="AK23" i="3"/>
  <c r="AJ23" i="3"/>
  <c r="AH23" i="3"/>
  <c r="AF23" i="3"/>
  <c r="AE23" i="3"/>
  <c r="AM22" i="3"/>
  <c r="AK22" i="3"/>
  <c r="AJ22" i="3"/>
  <c r="AH22" i="3"/>
  <c r="AF22" i="3"/>
  <c r="AE22" i="3"/>
  <c r="AM21" i="3"/>
  <c r="AK21" i="3"/>
  <c r="AJ21" i="3"/>
  <c r="AH21" i="3"/>
  <c r="AF21" i="3"/>
  <c r="AE21" i="3"/>
  <c r="AM20" i="3"/>
  <c r="AK20" i="3"/>
  <c r="AJ20" i="3"/>
  <c r="AH20" i="3"/>
  <c r="AF20" i="3"/>
  <c r="AE20" i="3"/>
  <c r="AM19" i="3"/>
  <c r="AK19" i="3"/>
  <c r="AJ19" i="3"/>
  <c r="AH19" i="3"/>
  <c r="AF19" i="3"/>
  <c r="AE19" i="3"/>
  <c r="AM18" i="3"/>
  <c r="AK18" i="3"/>
  <c r="AJ18" i="3"/>
  <c r="AH18" i="3"/>
  <c r="AF18" i="3"/>
  <c r="AE18" i="3"/>
  <c r="AM17" i="3"/>
  <c r="AK17" i="3"/>
  <c r="AJ17" i="3"/>
  <c r="AH17" i="3"/>
  <c r="AF17" i="3"/>
  <c r="AE17" i="3"/>
  <c r="AM16" i="3"/>
  <c r="AK16" i="3"/>
  <c r="AJ16" i="3"/>
  <c r="AH16" i="3"/>
  <c r="AF16" i="3"/>
  <c r="AE16" i="3"/>
  <c r="AM15" i="3"/>
  <c r="AK15" i="3"/>
  <c r="AJ15" i="3"/>
  <c r="AH15" i="3"/>
  <c r="AF15" i="3"/>
  <c r="AE15" i="3"/>
  <c r="AM14" i="3"/>
  <c r="AK14" i="3"/>
  <c r="AJ14" i="3"/>
  <c r="AM13" i="3"/>
  <c r="AK13" i="3"/>
  <c r="AJ13" i="3"/>
  <c r="AF12" i="3"/>
  <c r="AF13" i="3" s="1"/>
  <c r="AF14" i="3" s="1"/>
  <c r="AK10" i="3"/>
  <c r="AK11" i="3" s="1"/>
  <c r="AK12" i="3" s="1"/>
  <c r="AK7" i="3"/>
  <c r="AK8" i="3" s="1"/>
  <c r="AK9" i="3" s="1"/>
  <c r="AJ7" i="3"/>
  <c r="AK5" i="3"/>
  <c r="AK6" i="3" s="1"/>
  <c r="AK3" i="3"/>
  <c r="AK4" i="3" s="1"/>
  <c r="AJ3" i="3"/>
  <c r="AF3" i="3"/>
  <c r="AF4" i="3" s="1"/>
  <c r="AF5" i="3" s="1"/>
  <c r="AF6" i="3" s="1"/>
  <c r="AF7" i="3" s="1"/>
  <c r="AF8" i="3" s="1"/>
  <c r="AF9" i="3" s="1"/>
  <c r="AF10" i="3" s="1"/>
  <c r="AF11" i="3" s="1"/>
  <c r="AE3" i="3"/>
  <c r="AA3" i="3"/>
  <c r="AA4" i="3" s="1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Z3" i="3"/>
  <c r="M92" i="2"/>
  <c r="A92" i="2" s="1"/>
  <c r="M91" i="2"/>
  <c r="A91" i="2" s="1"/>
  <c r="M90" i="2"/>
  <c r="A90" i="2" s="1"/>
  <c r="M89" i="2"/>
  <c r="A89" i="2" s="1"/>
  <c r="M88" i="2"/>
  <c r="A88" i="2" s="1"/>
  <c r="M87" i="2"/>
  <c r="A87" i="2" s="1"/>
  <c r="M86" i="2"/>
  <c r="A86" i="2" s="1"/>
  <c r="M85" i="2"/>
  <c r="A85" i="2" s="1"/>
  <c r="M84" i="2"/>
  <c r="A84" i="2" s="1"/>
  <c r="M83" i="2"/>
  <c r="A83" i="2" s="1"/>
  <c r="M82" i="2"/>
  <c r="A82" i="2" s="1"/>
  <c r="M81" i="2"/>
  <c r="A81" i="2" s="1"/>
  <c r="M80" i="2"/>
  <c r="A80" i="2" s="1"/>
  <c r="M79" i="2"/>
  <c r="A79" i="2" s="1"/>
  <c r="M78" i="2"/>
  <c r="A78" i="2" s="1"/>
  <c r="M77" i="2"/>
  <c r="M76" i="2"/>
  <c r="A76" i="2" s="1"/>
  <c r="M75" i="2"/>
  <c r="A75" i="2" s="1"/>
  <c r="M74" i="2"/>
  <c r="A74" i="2" s="1"/>
  <c r="M73" i="2"/>
  <c r="A73" i="2" s="1"/>
  <c r="M72" i="2"/>
  <c r="A72" i="2" s="1"/>
  <c r="M71" i="2"/>
  <c r="A71" i="2" s="1"/>
  <c r="M70" i="2"/>
  <c r="A70" i="2" s="1"/>
  <c r="M69" i="2"/>
  <c r="A69" i="2" s="1"/>
  <c r="M68" i="2"/>
  <c r="A68" i="2" s="1"/>
  <c r="M67" i="2"/>
  <c r="A67" i="2" s="1"/>
  <c r="M66" i="2"/>
  <c r="A66" i="2" s="1"/>
  <c r="M65" i="2"/>
  <c r="M64" i="2"/>
  <c r="A64" i="2" s="1"/>
  <c r="M63" i="2"/>
  <c r="A63" i="2" s="1"/>
  <c r="M62" i="2"/>
  <c r="A62" i="2" s="1"/>
  <c r="M61" i="2"/>
  <c r="A61" i="2" s="1"/>
  <c r="M60" i="2"/>
  <c r="A60" i="2" s="1"/>
  <c r="M59" i="2"/>
  <c r="A59" i="2" s="1"/>
  <c r="M58" i="2"/>
  <c r="A58" i="2" s="1"/>
  <c r="M57" i="2"/>
  <c r="A57" i="2" s="1"/>
  <c r="M56" i="2"/>
  <c r="A56" i="2" s="1"/>
  <c r="M55" i="2"/>
  <c r="A55" i="2" s="1"/>
  <c r="M54" i="2"/>
  <c r="A54" i="2" s="1"/>
  <c r="M53" i="2"/>
  <c r="A53" i="2" s="1"/>
  <c r="M52" i="2"/>
  <c r="A52" i="2" s="1"/>
  <c r="M27" i="2"/>
  <c r="M3" i="2"/>
  <c r="X32" i="1"/>
  <c r="W32" i="1"/>
  <c r="V32" i="1"/>
  <c r="U32" i="1"/>
  <c r="T32" i="1"/>
  <c r="S32" i="1"/>
  <c r="R32" i="1"/>
  <c r="O32" i="1"/>
  <c r="K32" i="1"/>
  <c r="X31" i="1"/>
  <c r="W31" i="1"/>
  <c r="V31" i="1"/>
  <c r="U31" i="1"/>
  <c r="T31" i="1"/>
  <c r="S31" i="1"/>
  <c r="R31" i="1"/>
  <c r="O31" i="1"/>
  <c r="K31" i="1"/>
  <c r="X30" i="1"/>
  <c r="W30" i="1"/>
  <c r="V30" i="1"/>
  <c r="U30" i="1"/>
  <c r="T30" i="1"/>
  <c r="S30" i="1"/>
  <c r="R30" i="1"/>
  <c r="O30" i="1"/>
  <c r="K30" i="1"/>
  <c r="X29" i="1"/>
  <c r="W29" i="1"/>
  <c r="V29" i="1"/>
  <c r="U29" i="1"/>
  <c r="T29" i="1"/>
  <c r="S29" i="1"/>
  <c r="R29" i="1"/>
  <c r="O29" i="1"/>
  <c r="K29" i="1"/>
  <c r="X28" i="1"/>
  <c r="W28" i="1"/>
  <c r="V28" i="1"/>
  <c r="U28" i="1"/>
  <c r="T28" i="1"/>
  <c r="S28" i="1"/>
  <c r="R28" i="1"/>
  <c r="O28" i="1"/>
  <c r="K28" i="1"/>
  <c r="X27" i="1"/>
  <c r="W27" i="1"/>
  <c r="V27" i="1"/>
  <c r="U27" i="1"/>
  <c r="T27" i="1"/>
  <c r="S27" i="1"/>
  <c r="R27" i="1"/>
  <c r="O27" i="1"/>
  <c r="K27" i="1"/>
  <c r="X26" i="1"/>
  <c r="W26" i="1"/>
  <c r="V26" i="1"/>
  <c r="U26" i="1"/>
  <c r="T26" i="1"/>
  <c r="S26" i="1"/>
  <c r="R26" i="1"/>
  <c r="O26" i="1"/>
  <c r="K26" i="1"/>
  <c r="X25" i="1"/>
  <c r="W25" i="1"/>
  <c r="V25" i="1"/>
  <c r="U25" i="1"/>
  <c r="T25" i="1"/>
  <c r="S25" i="1"/>
  <c r="R25" i="1"/>
  <c r="O25" i="1"/>
  <c r="K25" i="1"/>
  <c r="X24" i="1"/>
  <c r="W24" i="1"/>
  <c r="V24" i="1"/>
  <c r="U24" i="1"/>
  <c r="T24" i="1"/>
  <c r="S24" i="1"/>
  <c r="R24" i="1"/>
  <c r="O24" i="1"/>
  <c r="K24" i="1"/>
  <c r="X23" i="1"/>
  <c r="W23" i="1"/>
  <c r="V23" i="1"/>
  <c r="U23" i="1"/>
  <c r="T23" i="1"/>
  <c r="S23" i="1"/>
  <c r="R23" i="1"/>
  <c r="O23" i="1"/>
  <c r="K23" i="1"/>
  <c r="X22" i="1"/>
  <c r="W22" i="1"/>
  <c r="V22" i="1"/>
  <c r="U22" i="1"/>
  <c r="T22" i="1"/>
  <c r="S22" i="1"/>
  <c r="R22" i="1"/>
  <c r="O22" i="1"/>
  <c r="K22" i="1"/>
  <c r="X21" i="1"/>
  <c r="W21" i="1"/>
  <c r="V21" i="1"/>
  <c r="U21" i="1"/>
  <c r="T21" i="1"/>
  <c r="S21" i="1"/>
  <c r="R21" i="1"/>
  <c r="O21" i="1"/>
  <c r="K21" i="1"/>
  <c r="X20" i="1"/>
  <c r="W20" i="1"/>
  <c r="V20" i="1"/>
  <c r="U20" i="1"/>
  <c r="T20" i="1"/>
  <c r="S20" i="1"/>
  <c r="R20" i="1"/>
  <c r="O20" i="1"/>
  <c r="K20" i="1"/>
  <c r="X19" i="1"/>
  <c r="W19" i="1"/>
  <c r="V19" i="1"/>
  <c r="U19" i="1"/>
  <c r="T19" i="1"/>
  <c r="S19" i="1"/>
  <c r="R19" i="1"/>
  <c r="O19" i="1"/>
  <c r="K19" i="1"/>
  <c r="X18" i="1"/>
  <c r="W18" i="1"/>
  <c r="V18" i="1"/>
  <c r="U18" i="1"/>
  <c r="T18" i="1"/>
  <c r="S18" i="1"/>
  <c r="R18" i="1"/>
  <c r="O18" i="1"/>
  <c r="K18" i="1"/>
  <c r="X17" i="1"/>
  <c r="W17" i="1"/>
  <c r="V17" i="1"/>
  <c r="U17" i="1"/>
  <c r="T17" i="1"/>
  <c r="S17" i="1"/>
  <c r="R17" i="1"/>
  <c r="O17" i="1"/>
  <c r="K17" i="1"/>
  <c r="X16" i="1"/>
  <c r="W16" i="1"/>
  <c r="V16" i="1"/>
  <c r="U16" i="1"/>
  <c r="T16" i="1"/>
  <c r="S16" i="1"/>
  <c r="R16" i="1"/>
  <c r="O16" i="1"/>
  <c r="K16" i="1"/>
  <c r="X15" i="1"/>
  <c r="W15" i="1"/>
  <c r="V15" i="1"/>
  <c r="U15" i="1"/>
  <c r="T15" i="1"/>
  <c r="S15" i="1"/>
  <c r="R15" i="1"/>
  <c r="O15" i="1"/>
  <c r="K15" i="1"/>
  <c r="X14" i="1"/>
  <c r="W14" i="1"/>
  <c r="V14" i="1"/>
  <c r="U14" i="1"/>
  <c r="T14" i="1"/>
  <c r="S14" i="1"/>
  <c r="R14" i="1"/>
  <c r="O14" i="1"/>
  <c r="K14" i="1"/>
  <c r="X13" i="1"/>
  <c r="W13" i="1"/>
  <c r="V13" i="1"/>
  <c r="U13" i="1"/>
  <c r="T13" i="1"/>
  <c r="S13" i="1"/>
  <c r="R13" i="1"/>
  <c r="Y13" i="1" s="1"/>
  <c r="O13" i="1"/>
  <c r="K13" i="1"/>
  <c r="X12" i="1"/>
  <c r="W12" i="1"/>
  <c r="V12" i="1"/>
  <c r="U12" i="1"/>
  <c r="T12" i="1"/>
  <c r="S12" i="1"/>
  <c r="R12" i="1"/>
  <c r="O12" i="1"/>
  <c r="K12" i="1"/>
  <c r="X11" i="1"/>
  <c r="W11" i="1"/>
  <c r="V11" i="1"/>
  <c r="U11" i="1"/>
  <c r="T11" i="1"/>
  <c r="S11" i="1"/>
  <c r="R11" i="1"/>
  <c r="O11" i="1"/>
  <c r="K11" i="1"/>
  <c r="X10" i="1"/>
  <c r="W10" i="1"/>
  <c r="V10" i="1"/>
  <c r="U10" i="1"/>
  <c r="T10" i="1"/>
  <c r="S10" i="1"/>
  <c r="R10" i="1"/>
  <c r="O10" i="1"/>
  <c r="K10" i="1"/>
  <c r="X9" i="1"/>
  <c r="W9" i="1"/>
  <c r="V9" i="1"/>
  <c r="U9" i="1"/>
  <c r="T9" i="1"/>
  <c r="S9" i="1"/>
  <c r="R9" i="1"/>
  <c r="O9" i="1"/>
  <c r="K9" i="1"/>
  <c r="X8" i="1"/>
  <c r="W8" i="1"/>
  <c r="V8" i="1"/>
  <c r="U8" i="1"/>
  <c r="T8" i="1"/>
  <c r="S8" i="1"/>
  <c r="R8" i="1"/>
  <c r="O8" i="1"/>
  <c r="K8" i="1"/>
  <c r="X7" i="1"/>
  <c r="W7" i="1"/>
  <c r="V7" i="1"/>
  <c r="U7" i="1"/>
  <c r="T7" i="1"/>
  <c r="S7" i="1"/>
  <c r="R7" i="1"/>
  <c r="O7" i="1"/>
  <c r="K7" i="1"/>
  <c r="S6" i="1"/>
  <c r="R6" i="1"/>
  <c r="S5" i="1"/>
  <c r="R5" i="1"/>
  <c r="S4" i="1"/>
  <c r="R4" i="1"/>
  <c r="S3" i="1"/>
  <c r="R3" i="1"/>
  <c r="P44" i="3" l="1"/>
  <c r="U44" i="3"/>
  <c r="AL35" i="3"/>
  <c r="U35" i="3"/>
  <c r="P24" i="3"/>
  <c r="P41" i="3"/>
  <c r="K40" i="3"/>
  <c r="Y11" i="1"/>
  <c r="Y19" i="1"/>
  <c r="U20" i="3"/>
  <c r="P31" i="3"/>
  <c r="Y28" i="1"/>
  <c r="K46" i="3"/>
  <c r="P19" i="3"/>
  <c r="Y14" i="1"/>
  <c r="Z4" i="1"/>
  <c r="Z5" i="1"/>
  <c r="Z6" i="1"/>
  <c r="Z3" i="1"/>
  <c r="P22" i="3"/>
  <c r="K38" i="3"/>
  <c r="P26" i="3"/>
  <c r="Y26" i="1"/>
  <c r="P30" i="3"/>
  <c r="AG30" i="3"/>
  <c r="AL47" i="3"/>
  <c r="AB44" i="3"/>
  <c r="K44" i="3"/>
  <c r="P47" i="3"/>
  <c r="Y24" i="1"/>
  <c r="Y30" i="1"/>
  <c r="AG47" i="3"/>
  <c r="P32" i="3"/>
  <c r="U21" i="3"/>
  <c r="U22" i="3"/>
  <c r="Y21" i="1"/>
  <c r="AB41" i="3"/>
  <c r="K41" i="3"/>
  <c r="AG32" i="3"/>
  <c r="AG41" i="3"/>
  <c r="AL22" i="3"/>
  <c r="P36" i="3"/>
  <c r="P20" i="3"/>
  <c r="Y23" i="1"/>
  <c r="AL41" i="3"/>
  <c r="AL16" i="3"/>
  <c r="U16" i="3"/>
  <c r="Y25" i="1"/>
  <c r="C77" i="2"/>
  <c r="A77" i="2"/>
  <c r="C65" i="2"/>
  <c r="A65" i="2"/>
  <c r="U15" i="3"/>
  <c r="Y16" i="1"/>
  <c r="AG22" i="3"/>
  <c r="AG19" i="3"/>
  <c r="P17" i="3"/>
  <c r="Y17" i="1"/>
  <c r="AL32" i="3"/>
  <c r="U13" i="3"/>
  <c r="AL17" i="3"/>
  <c r="U17" i="3"/>
  <c r="P25" i="3"/>
  <c r="K36" i="3"/>
  <c r="K39" i="3"/>
  <c r="AB36" i="3"/>
  <c r="AG44" i="3"/>
  <c r="AL44" i="3"/>
  <c r="AG38" i="3"/>
  <c r="P38" i="3"/>
  <c r="AG21" i="3"/>
  <c r="P21" i="3"/>
  <c r="C71" i="2"/>
  <c r="AB38" i="3"/>
  <c r="C70" i="2"/>
  <c r="AB39" i="3"/>
  <c r="Y29" i="1"/>
  <c r="AB43" i="3"/>
  <c r="K43" i="3"/>
  <c r="AB37" i="3"/>
  <c r="K37" i="3"/>
  <c r="AL33" i="3"/>
  <c r="U33" i="3"/>
  <c r="AG33" i="3"/>
  <c r="P33" i="3"/>
  <c r="AL18" i="3"/>
  <c r="U18" i="3"/>
  <c r="U29" i="3"/>
  <c r="AG25" i="3"/>
  <c r="AG36" i="3"/>
  <c r="AL24" i="3"/>
  <c r="AG31" i="3"/>
  <c r="P18" i="3"/>
  <c r="Y18" i="1"/>
  <c r="AB47" i="3"/>
  <c r="K47" i="3"/>
  <c r="AL46" i="3"/>
  <c r="U46" i="3"/>
  <c r="AG46" i="3"/>
  <c r="P46" i="3"/>
  <c r="AL43" i="3"/>
  <c r="U43" i="3"/>
  <c r="AG43" i="3"/>
  <c r="P43" i="3"/>
  <c r="AL30" i="3"/>
  <c r="U30" i="3"/>
  <c r="U3" i="3"/>
  <c r="AL3" i="3" s="1"/>
  <c r="P3" i="3"/>
  <c r="AG3" i="3" s="1"/>
  <c r="K3" i="3"/>
  <c r="AB3" i="3" s="1"/>
  <c r="C57" i="2"/>
  <c r="P37" i="3"/>
  <c r="U19" i="3"/>
  <c r="Y12" i="1"/>
  <c r="Y7" i="1"/>
  <c r="AG29" i="3"/>
  <c r="P29" i="3"/>
  <c r="AL26" i="3"/>
  <c r="U26" i="3"/>
  <c r="AG15" i="3"/>
  <c r="P15" i="3"/>
  <c r="Y15" i="1"/>
  <c r="AL29" i="3"/>
  <c r="AL21" i="3"/>
  <c r="AG24" i="3"/>
  <c r="AG37" i="3"/>
  <c r="AG20" i="3"/>
  <c r="AL40" i="3"/>
  <c r="U40" i="3"/>
  <c r="AG40" i="3"/>
  <c r="P40" i="3"/>
  <c r="AL37" i="3"/>
  <c r="U37" i="3"/>
  <c r="U36" i="3"/>
  <c r="P28" i="3"/>
  <c r="Y31" i="1"/>
  <c r="AL19" i="3"/>
  <c r="AL15" i="3"/>
  <c r="Y9" i="1"/>
  <c r="AB35" i="3"/>
  <c r="K35" i="3"/>
  <c r="D72" i="2"/>
  <c r="C72" i="2"/>
  <c r="H72" i="2"/>
  <c r="H71" i="2"/>
  <c r="D71" i="2"/>
  <c r="H70" i="2"/>
  <c r="D70" i="2"/>
  <c r="H69" i="2"/>
  <c r="C69" i="2"/>
  <c r="D69" i="2"/>
  <c r="H68" i="2"/>
  <c r="D68" i="2"/>
  <c r="C68" i="2"/>
  <c r="H67" i="2"/>
  <c r="C67" i="2"/>
  <c r="D67" i="2"/>
  <c r="H66" i="2"/>
  <c r="C66" i="2"/>
  <c r="D66" i="2"/>
  <c r="H65" i="2"/>
  <c r="D65" i="2"/>
  <c r="C63" i="2"/>
  <c r="H62" i="2"/>
  <c r="D62" i="2"/>
  <c r="C62" i="2"/>
  <c r="C61" i="2"/>
  <c r="D59" i="2"/>
  <c r="H59" i="2"/>
  <c r="C59" i="2"/>
  <c r="C58" i="2"/>
  <c r="P42" i="3"/>
  <c r="AL36" i="3"/>
  <c r="AG17" i="3"/>
  <c r="AL13" i="3"/>
  <c r="AG26" i="3"/>
  <c r="P35" i="3"/>
  <c r="Y22" i="1"/>
  <c r="Y8" i="1"/>
  <c r="AG28" i="3"/>
  <c r="AG18" i="3"/>
  <c r="Y10" i="1"/>
  <c r="AB42" i="3"/>
  <c r="K42" i="3"/>
  <c r="AL39" i="3"/>
  <c r="U39" i="3"/>
  <c r="AG39" i="3"/>
  <c r="P39" i="3"/>
  <c r="AL34" i="3"/>
  <c r="U34" i="3"/>
  <c r="AG34" i="3"/>
  <c r="P34" i="3"/>
  <c r="AL28" i="3"/>
  <c r="U28" i="3"/>
  <c r="AL25" i="3"/>
  <c r="U25" i="3"/>
  <c r="AL14" i="3"/>
  <c r="U14" i="3"/>
  <c r="D89" i="2"/>
  <c r="C89" i="2"/>
  <c r="C85" i="2"/>
  <c r="H64" i="2"/>
  <c r="C64" i="2"/>
  <c r="D64" i="2"/>
  <c r="H63" i="2"/>
  <c r="D63" i="2"/>
  <c r="H61" i="2"/>
  <c r="D61" i="2"/>
  <c r="D60" i="2"/>
  <c r="H60" i="2"/>
  <c r="C60" i="2"/>
  <c r="H58" i="2"/>
  <c r="D58" i="2"/>
  <c r="D57" i="2"/>
  <c r="H57" i="2"/>
  <c r="D56" i="2"/>
  <c r="H56" i="2"/>
  <c r="C56" i="2"/>
  <c r="D55" i="2"/>
  <c r="H55" i="2"/>
  <c r="C55" i="2"/>
  <c r="H54" i="2"/>
  <c r="C54" i="2"/>
  <c r="D54" i="2"/>
  <c r="C53" i="2"/>
  <c r="D53" i="2"/>
  <c r="H53" i="2"/>
  <c r="C52" i="2"/>
  <c r="D52" i="2"/>
  <c r="H52" i="2"/>
  <c r="AG42" i="3"/>
  <c r="AG35" i="3"/>
  <c r="Y32" i="1"/>
  <c r="AL20" i="3"/>
  <c r="AB46" i="3"/>
  <c r="AB40" i="3"/>
  <c r="Y27" i="1"/>
  <c r="Y20" i="1"/>
  <c r="AL45" i="3"/>
  <c r="U45" i="3"/>
  <c r="AG45" i="3"/>
  <c r="P45" i="3"/>
  <c r="AB45" i="3"/>
  <c r="K45" i="3"/>
  <c r="AL42" i="3"/>
  <c r="U42" i="3"/>
  <c r="AL31" i="3"/>
  <c r="U31" i="3"/>
  <c r="AL23" i="3"/>
  <c r="U23" i="3"/>
  <c r="AG23" i="3"/>
  <c r="P23" i="3"/>
  <c r="AL38" i="3"/>
  <c r="U38" i="3"/>
  <c r="U27" i="3"/>
  <c r="AL27" i="3"/>
  <c r="P27" i="3"/>
  <c r="AG27" i="3"/>
  <c r="AG16" i="3"/>
  <c r="P16" i="3"/>
  <c r="AJ8" i="3"/>
  <c r="AJ4" i="3"/>
  <c r="AE4" i="3"/>
  <c r="Z4" i="3"/>
  <c r="O92" i="2"/>
  <c r="H92" i="2"/>
  <c r="D92" i="2"/>
  <c r="N92" i="2"/>
  <c r="P92" i="2"/>
  <c r="C92" i="2"/>
  <c r="P91" i="2"/>
  <c r="H91" i="2"/>
  <c r="C91" i="2"/>
  <c r="O91" i="2"/>
  <c r="D91" i="2"/>
  <c r="N91" i="2"/>
  <c r="P90" i="2"/>
  <c r="N90" i="2"/>
  <c r="H90" i="2"/>
  <c r="C90" i="2"/>
  <c r="D90" i="2"/>
  <c r="O90" i="2"/>
  <c r="P89" i="2"/>
  <c r="N89" i="2"/>
  <c r="H89" i="2"/>
  <c r="O89" i="2"/>
  <c r="N88" i="2"/>
  <c r="O88" i="2"/>
  <c r="H88" i="2"/>
  <c r="C88" i="2"/>
  <c r="P88" i="2"/>
  <c r="D88" i="2"/>
  <c r="D87" i="2"/>
  <c r="N87" i="2"/>
  <c r="H87" i="2"/>
  <c r="O87" i="2"/>
  <c r="P87" i="2"/>
  <c r="C87" i="2"/>
  <c r="P86" i="2"/>
  <c r="N86" i="2"/>
  <c r="H86" i="2"/>
  <c r="O86" i="2"/>
  <c r="D86" i="2"/>
  <c r="C86" i="2"/>
  <c r="N85" i="2"/>
  <c r="D85" i="2"/>
  <c r="O85" i="2"/>
  <c r="P85" i="2"/>
  <c r="H85" i="2"/>
  <c r="D84" i="2"/>
  <c r="C84" i="2"/>
  <c r="H84" i="2"/>
  <c r="N84" i="2"/>
  <c r="P84" i="2"/>
  <c r="O84" i="2"/>
  <c r="P83" i="2"/>
  <c r="O83" i="2"/>
  <c r="N83" i="2"/>
  <c r="H83" i="2"/>
  <c r="D83" i="2"/>
  <c r="C83" i="2"/>
  <c r="D82" i="2"/>
  <c r="C82" i="2"/>
  <c r="H82" i="2"/>
  <c r="O82" i="2"/>
  <c r="N82" i="2"/>
  <c r="P82" i="2"/>
  <c r="O81" i="2"/>
  <c r="D81" i="2"/>
  <c r="N81" i="2"/>
  <c r="H81" i="2"/>
  <c r="P81" i="2"/>
  <c r="C81" i="2"/>
  <c r="P80" i="2"/>
  <c r="D80" i="2"/>
  <c r="C80" i="2"/>
  <c r="O80" i="2"/>
  <c r="H80" i="2"/>
  <c r="N80" i="2"/>
  <c r="O79" i="2"/>
  <c r="D79" i="2"/>
  <c r="N79" i="2"/>
  <c r="P79" i="2"/>
  <c r="H79" i="2"/>
  <c r="C79" i="2"/>
  <c r="P78" i="2"/>
  <c r="N78" i="2"/>
  <c r="D78" i="2"/>
  <c r="C78" i="2"/>
  <c r="O78" i="2"/>
  <c r="H78" i="2"/>
  <c r="D77" i="2"/>
  <c r="H77" i="2"/>
  <c r="O77" i="2"/>
  <c r="P77" i="2"/>
  <c r="N77" i="2"/>
  <c r="H76" i="2"/>
  <c r="C76" i="2"/>
  <c r="D76" i="2"/>
  <c r="P76" i="2"/>
  <c r="N76" i="2"/>
  <c r="O76" i="2"/>
  <c r="H75" i="2"/>
  <c r="O75" i="2"/>
  <c r="P75" i="2"/>
  <c r="N75" i="2"/>
  <c r="D75" i="2"/>
  <c r="C75" i="2"/>
  <c r="D74" i="2"/>
  <c r="N74" i="2"/>
  <c r="O74" i="2"/>
  <c r="H74" i="2"/>
  <c r="P74" i="2"/>
  <c r="C74" i="2"/>
  <c r="C73" i="2"/>
  <c r="D73" i="2"/>
  <c r="O73" i="2"/>
  <c r="H73" i="2"/>
  <c r="P73" i="2"/>
  <c r="N73" i="2"/>
  <c r="P72" i="2"/>
  <c r="O72" i="2"/>
  <c r="N72" i="2"/>
  <c r="P71" i="2"/>
  <c r="N71" i="2"/>
  <c r="O71" i="2"/>
  <c r="O70" i="2"/>
  <c r="P70" i="2"/>
  <c r="N70" i="2"/>
  <c r="P69" i="2"/>
  <c r="O69" i="2"/>
  <c r="N69" i="2"/>
  <c r="O68" i="2"/>
  <c r="N68" i="2"/>
  <c r="P68" i="2"/>
  <c r="N67" i="2"/>
  <c r="O67" i="2"/>
  <c r="P67" i="2"/>
  <c r="N66" i="2"/>
  <c r="O66" i="2"/>
  <c r="P66" i="2"/>
  <c r="N65" i="2"/>
  <c r="O65" i="2"/>
  <c r="P65" i="2"/>
  <c r="P64" i="2"/>
  <c r="N64" i="2"/>
  <c r="O64" i="2"/>
  <c r="N63" i="2"/>
  <c r="O63" i="2"/>
  <c r="P63" i="2"/>
  <c r="O62" i="2"/>
  <c r="N62" i="2"/>
  <c r="P62" i="2"/>
  <c r="P61" i="2"/>
  <c r="O61" i="2"/>
  <c r="N61" i="2"/>
  <c r="P60" i="2"/>
  <c r="N60" i="2"/>
  <c r="O60" i="2"/>
  <c r="P59" i="2"/>
  <c r="O59" i="2"/>
  <c r="N59" i="2"/>
  <c r="P58" i="2"/>
  <c r="N58" i="2"/>
  <c r="O58" i="2"/>
  <c r="N57" i="2"/>
  <c r="O57" i="2"/>
  <c r="P57" i="2"/>
  <c r="N56" i="2"/>
  <c r="O56" i="2"/>
  <c r="P56" i="2"/>
  <c r="O55" i="2"/>
  <c r="N55" i="2"/>
  <c r="P55" i="2"/>
  <c r="N54" i="2"/>
  <c r="O54" i="2"/>
  <c r="P54" i="2"/>
  <c r="N53" i="2"/>
  <c r="O53" i="2"/>
  <c r="P53" i="2"/>
  <c r="N52" i="2"/>
  <c r="O52" i="2"/>
  <c r="P52" i="2"/>
  <c r="M28" i="2"/>
  <c r="N27" i="2"/>
  <c r="O27" i="2" s="1"/>
  <c r="N3" i="2"/>
  <c r="O3" i="2" s="1"/>
  <c r="C3" i="2"/>
  <c r="M4" i="2"/>
  <c r="U3" i="1"/>
  <c r="W3" i="1"/>
  <c r="W4" i="1"/>
  <c r="W5" i="1"/>
  <c r="V4" i="1"/>
  <c r="X3" i="1"/>
  <c r="V3" i="1"/>
  <c r="T4" i="1"/>
  <c r="X4" i="1"/>
  <c r="T5" i="1"/>
  <c r="U4" i="1"/>
  <c r="V5" i="1"/>
  <c r="U5" i="1"/>
  <c r="X5" i="1"/>
  <c r="T3" i="1"/>
  <c r="X6" i="1"/>
  <c r="W6" i="1"/>
  <c r="V6" i="1"/>
  <c r="U6" i="1"/>
  <c r="T6" i="1"/>
  <c r="A4" i="2" l="1"/>
  <c r="A28" i="2"/>
  <c r="A27" i="2"/>
  <c r="A3" i="2"/>
  <c r="A11" i="3"/>
  <c r="A10" i="3"/>
  <c r="A9" i="3"/>
  <c r="A8" i="3"/>
  <c r="A7" i="3"/>
  <c r="A6" i="3"/>
  <c r="A5" i="3"/>
  <c r="A4" i="3"/>
  <c r="A3" i="3"/>
  <c r="AE11" i="3"/>
  <c r="AJ9" i="3"/>
  <c r="AJ5" i="3"/>
  <c r="U4" i="3"/>
  <c r="AL4" i="3" s="1"/>
  <c r="AE5" i="3"/>
  <c r="P4" i="3"/>
  <c r="AG4" i="3" s="1"/>
  <c r="Z5" i="3"/>
  <c r="K4" i="3"/>
  <c r="AB4" i="3" s="1"/>
  <c r="N28" i="2"/>
  <c r="O28" i="2" s="1"/>
  <c r="M29" i="2"/>
  <c r="A29" i="2" s="1"/>
  <c r="C4" i="2"/>
  <c r="M5" i="2"/>
  <c r="N4" i="2"/>
  <c r="O4" i="2" s="1"/>
  <c r="Y6" i="1"/>
  <c r="O6" i="1"/>
  <c r="O4" i="1"/>
  <c r="Y4" i="1"/>
  <c r="O5" i="1"/>
  <c r="Y5" i="1"/>
  <c r="O3" i="1"/>
  <c r="Y3" i="1"/>
  <c r="A5" i="2" l="1"/>
  <c r="AE12" i="3"/>
  <c r="AJ10" i="3"/>
  <c r="AJ6" i="3"/>
  <c r="U5" i="3"/>
  <c r="AL5" i="3" s="1"/>
  <c r="P5" i="3"/>
  <c r="AG5" i="3" s="1"/>
  <c r="AE6" i="3"/>
  <c r="Z6" i="3"/>
  <c r="K5" i="3"/>
  <c r="AB5" i="3" s="1"/>
  <c r="M30" i="2"/>
  <c r="A30" i="2" s="1"/>
  <c r="N29" i="2"/>
  <c r="O29" i="2" s="1"/>
  <c r="M6" i="2"/>
  <c r="N5" i="2"/>
  <c r="O5" i="2" s="1"/>
  <c r="C5" i="2"/>
  <c r="A6" i="2" l="1"/>
  <c r="U9" i="3"/>
  <c r="AL9" i="3" s="1"/>
  <c r="U7" i="3"/>
  <c r="AL7" i="3" s="1"/>
  <c r="AE13" i="3"/>
  <c r="AJ11" i="3"/>
  <c r="U10" i="3"/>
  <c r="AL10" i="3" s="1"/>
  <c r="U8" i="3"/>
  <c r="AL8" i="3" s="1"/>
  <c r="U6" i="3"/>
  <c r="AL6" i="3" s="1"/>
  <c r="AE7" i="3"/>
  <c r="P6" i="3"/>
  <c r="AG6" i="3" s="1"/>
  <c r="K6" i="3"/>
  <c r="AB6" i="3" s="1"/>
  <c r="Z7" i="3"/>
  <c r="M31" i="2"/>
  <c r="A31" i="2" s="1"/>
  <c r="N30" i="2"/>
  <c r="O30" i="2" s="1"/>
  <c r="C6" i="2"/>
  <c r="N6" i="2"/>
  <c r="O6" i="2" s="1"/>
  <c r="M7" i="2"/>
  <c r="A7" i="2" l="1"/>
  <c r="AE14" i="3"/>
  <c r="AJ12" i="3"/>
  <c r="U11" i="3"/>
  <c r="AL11" i="3" s="1"/>
  <c r="AE8" i="3"/>
  <c r="AE9" i="3" s="1"/>
  <c r="AE10" i="3" s="1"/>
  <c r="P7" i="3"/>
  <c r="AG7" i="3" s="1"/>
  <c r="Z8" i="3"/>
  <c r="K7" i="3"/>
  <c r="AB7" i="3" s="1"/>
  <c r="N31" i="2"/>
  <c r="O31" i="2" s="1"/>
  <c r="M32" i="2"/>
  <c r="A32" i="2" s="1"/>
  <c r="M8" i="2"/>
  <c r="N7" i="2"/>
  <c r="O7" i="2" s="1"/>
  <c r="C7" i="2"/>
  <c r="A8" i="2" l="1"/>
  <c r="P11" i="3"/>
  <c r="AG11" i="3" s="1"/>
  <c r="P9" i="3"/>
  <c r="AG9" i="3" s="1"/>
  <c r="P13" i="3"/>
  <c r="AG13" i="3" s="1"/>
  <c r="P14" i="3"/>
  <c r="AG14" i="3" s="1"/>
  <c r="U12" i="3"/>
  <c r="AL12" i="3" s="1"/>
  <c r="P10" i="3"/>
  <c r="AG10" i="3" s="1"/>
  <c r="P12" i="3"/>
  <c r="AG12" i="3" s="1"/>
  <c r="P8" i="3"/>
  <c r="AG8" i="3" s="1"/>
  <c r="Z9" i="3"/>
  <c r="K8" i="3"/>
  <c r="AB8" i="3" s="1"/>
  <c r="N32" i="2"/>
  <c r="O32" i="2" s="1"/>
  <c r="M33" i="2"/>
  <c r="A33" i="2" s="1"/>
  <c r="N8" i="2"/>
  <c r="O8" i="2" s="1"/>
  <c r="C8" i="2"/>
  <c r="M9" i="2"/>
  <c r="A9" i="2" s="1"/>
  <c r="Z10" i="3" l="1"/>
  <c r="K10" i="3" s="1"/>
  <c r="AB10" i="3" s="1"/>
  <c r="AM7" i="3"/>
  <c r="AM9" i="3"/>
  <c r="AM4" i="3"/>
  <c r="AM3" i="3"/>
  <c r="K9" i="3"/>
  <c r="AB9" i="3" s="1"/>
  <c r="N33" i="2"/>
  <c r="O33" i="2" s="1"/>
  <c r="M34" i="2"/>
  <c r="A34" i="2" s="1"/>
  <c r="N9" i="2"/>
  <c r="O9" i="2" s="1"/>
  <c r="C9" i="2"/>
  <c r="M10" i="2"/>
  <c r="A10" i="2" s="1"/>
  <c r="AH13" i="3"/>
  <c r="AH10" i="3"/>
  <c r="AH12" i="3"/>
  <c r="AH14" i="3"/>
  <c r="AH4" i="3"/>
  <c r="AH3" i="3"/>
  <c r="AH5" i="3"/>
  <c r="AM11" i="3"/>
  <c r="AM10" i="3"/>
  <c r="AM6" i="3"/>
  <c r="AM5" i="3"/>
  <c r="AM8" i="3"/>
  <c r="AM12" i="3"/>
  <c r="AH6" i="3"/>
  <c r="AH8" i="3"/>
  <c r="AH11" i="3"/>
  <c r="AH9" i="3"/>
  <c r="AH7" i="3"/>
  <c r="Z11" i="3" l="1"/>
  <c r="F4" i="3"/>
  <c r="F7" i="3"/>
  <c r="F8" i="3"/>
  <c r="F9" i="3"/>
  <c r="F5" i="3"/>
  <c r="M35" i="2"/>
  <c r="A35" i="2" s="1"/>
  <c r="N34" i="2"/>
  <c r="O34" i="2" s="1"/>
  <c r="N10" i="2"/>
  <c r="O10" i="2" s="1"/>
  <c r="C10" i="2"/>
  <c r="M11" i="2"/>
  <c r="A11" i="2" s="1"/>
  <c r="K11" i="3" l="1"/>
  <c r="AB11" i="3" s="1"/>
  <c r="Z12" i="3"/>
  <c r="Z13" i="3" s="1"/>
  <c r="Z14" i="3" s="1"/>
  <c r="Z15" i="3" s="1"/>
  <c r="Z16" i="3" s="1"/>
  <c r="Z17" i="3" s="1"/>
  <c r="Z18" i="3" s="1"/>
  <c r="Z19" i="3" s="1"/>
  <c r="Z20" i="3" s="1"/>
  <c r="N35" i="2"/>
  <c r="O35" i="2" s="1"/>
  <c r="M36" i="2"/>
  <c r="A36" i="2" s="1"/>
  <c r="N11" i="2"/>
  <c r="O11" i="2" s="1"/>
  <c r="M12" i="2"/>
  <c r="A12" i="2" s="1"/>
  <c r="C11" i="2"/>
  <c r="Z21" i="3" l="1"/>
  <c r="K20" i="3"/>
  <c r="AB20" i="3" s="1"/>
  <c r="K19" i="3"/>
  <c r="AB19" i="3" s="1"/>
  <c r="K17" i="3"/>
  <c r="AB17" i="3" s="1"/>
  <c r="K15" i="3"/>
  <c r="AB15" i="3" s="1"/>
  <c r="K13" i="3"/>
  <c r="AB13" i="3" s="1"/>
  <c r="K18" i="3"/>
  <c r="AB18" i="3" s="1"/>
  <c r="K12" i="3"/>
  <c r="AB12" i="3" s="1"/>
  <c r="K16" i="3"/>
  <c r="AB16" i="3" s="1"/>
  <c r="K14" i="3"/>
  <c r="AB14" i="3" s="1"/>
  <c r="M37" i="2"/>
  <c r="A37" i="2" s="1"/>
  <c r="N36" i="2"/>
  <c r="O36" i="2" s="1"/>
  <c r="C12" i="2"/>
  <c r="N12" i="2"/>
  <c r="O12" i="2" s="1"/>
  <c r="M13" i="2"/>
  <c r="A13" i="2" s="1"/>
  <c r="K21" i="3" l="1"/>
  <c r="AB21" i="3" s="1"/>
  <c r="Z22" i="3"/>
  <c r="M38" i="2"/>
  <c r="A38" i="2" s="1"/>
  <c r="N37" i="2"/>
  <c r="O37" i="2" s="1"/>
  <c r="N13" i="2"/>
  <c r="O13" i="2" s="1"/>
  <c r="M14" i="2"/>
  <c r="A14" i="2" s="1"/>
  <c r="C13" i="2"/>
  <c r="K22" i="3" l="1"/>
  <c r="AB22" i="3" s="1"/>
  <c r="Z23" i="3"/>
  <c r="N38" i="2"/>
  <c r="O38" i="2" s="1"/>
  <c r="M39" i="2"/>
  <c r="A39" i="2" s="1"/>
  <c r="C14" i="2"/>
  <c r="M15" i="2"/>
  <c r="A15" i="2" s="1"/>
  <c r="N14" i="2"/>
  <c r="O14" i="2" s="1"/>
  <c r="K23" i="3" l="1"/>
  <c r="AB23" i="3" s="1"/>
  <c r="Z24" i="3"/>
  <c r="M40" i="2"/>
  <c r="A40" i="2" s="1"/>
  <c r="N39" i="2"/>
  <c r="O39" i="2" s="1"/>
  <c r="C15" i="2"/>
  <c r="N15" i="2"/>
  <c r="O15" i="2" s="1"/>
  <c r="M16" i="2"/>
  <c r="A16" i="2" s="1"/>
  <c r="K24" i="3" l="1"/>
  <c r="AB24" i="3" s="1"/>
  <c r="Z25" i="3"/>
  <c r="N40" i="2"/>
  <c r="O40" i="2" s="1"/>
  <c r="M41" i="2"/>
  <c r="A41" i="2" s="1"/>
  <c r="M17" i="2"/>
  <c r="A17" i="2" s="1"/>
  <c r="C16" i="2"/>
  <c r="N16" i="2"/>
  <c r="O16" i="2" s="1"/>
  <c r="K25" i="3" l="1"/>
  <c r="AB25" i="3" s="1"/>
  <c r="Z26" i="3"/>
  <c r="M42" i="2"/>
  <c r="A42" i="2" s="1"/>
  <c r="N41" i="2"/>
  <c r="O41" i="2" s="1"/>
  <c r="M18" i="2"/>
  <c r="A18" i="2" s="1"/>
  <c r="C17" i="2"/>
  <c r="N17" i="2"/>
  <c r="O17" i="2" s="1"/>
  <c r="Z27" i="3" l="1"/>
  <c r="Z28" i="3" s="1"/>
  <c r="Z29" i="3" s="1"/>
  <c r="K26" i="3"/>
  <c r="AB26" i="3" s="1"/>
  <c r="N42" i="2"/>
  <c r="O42" i="2" s="1"/>
  <c r="M43" i="2"/>
  <c r="A43" i="2" s="1"/>
  <c r="N18" i="2"/>
  <c r="O18" i="2" s="1"/>
  <c r="C18" i="2"/>
  <c r="M19" i="2"/>
  <c r="A19" i="2" s="1"/>
  <c r="K29" i="3" l="1"/>
  <c r="AB29" i="3" s="1"/>
  <c r="Z30" i="3"/>
  <c r="K28" i="3"/>
  <c r="AB28" i="3" s="1"/>
  <c r="K27" i="3"/>
  <c r="AB27" i="3" s="1"/>
  <c r="M44" i="2"/>
  <c r="A44" i="2" s="1"/>
  <c r="N43" i="2"/>
  <c r="O43" i="2" s="1"/>
  <c r="C19" i="2"/>
  <c r="N19" i="2"/>
  <c r="O19" i="2" s="1"/>
  <c r="M20" i="2"/>
  <c r="A20" i="2" s="1"/>
  <c r="Z31" i="3" l="1"/>
  <c r="K30" i="3"/>
  <c r="AB30" i="3" s="1"/>
  <c r="N44" i="2"/>
  <c r="O44" i="2" s="1"/>
  <c r="M45" i="2"/>
  <c r="A45" i="2" s="1"/>
  <c r="N20" i="2"/>
  <c r="O20" i="2" s="1"/>
  <c r="C20" i="2"/>
  <c r="M21" i="2"/>
  <c r="A21" i="2" s="1"/>
  <c r="K31" i="3" l="1"/>
  <c r="AB31" i="3" s="1"/>
  <c r="Z32" i="3"/>
  <c r="M46" i="2"/>
  <c r="A46" i="2" s="1"/>
  <c r="N45" i="2"/>
  <c r="O45" i="2" s="1"/>
  <c r="C21" i="2"/>
  <c r="M22" i="2"/>
  <c r="A22" i="2" s="1"/>
  <c r="N21" i="2"/>
  <c r="O21" i="2" s="1"/>
  <c r="K32" i="3" l="1"/>
  <c r="AB32" i="3" s="1"/>
  <c r="Z33" i="3"/>
  <c r="M47" i="2"/>
  <c r="A47" i="2" s="1"/>
  <c r="N46" i="2"/>
  <c r="O46" i="2" s="1"/>
  <c r="C22" i="2"/>
  <c r="N22" i="2"/>
  <c r="O22" i="2" s="1"/>
  <c r="M23" i="2"/>
  <c r="A23" i="2" s="1"/>
  <c r="K33" i="3" l="1"/>
  <c r="AB33" i="3" s="1"/>
  <c r="Z34" i="3"/>
  <c r="N47" i="2"/>
  <c r="O47" i="2" s="1"/>
  <c r="M48" i="2"/>
  <c r="A48" i="2" s="1"/>
  <c r="N23" i="2"/>
  <c r="O23" i="2" s="1"/>
  <c r="C23" i="2"/>
  <c r="M24" i="2"/>
  <c r="A24" i="2" s="1"/>
  <c r="K34" i="3" l="1"/>
  <c r="AB34" i="3" s="1"/>
  <c r="M49" i="2"/>
  <c r="A49" i="2" s="1"/>
  <c r="N48" i="2"/>
  <c r="O48" i="2" s="1"/>
  <c r="M25" i="2"/>
  <c r="A25" i="2" s="1"/>
  <c r="C24" i="2"/>
  <c r="N24" i="2"/>
  <c r="O24" i="2" s="1"/>
  <c r="AC13" i="3" l="1"/>
  <c r="AC8" i="3"/>
  <c r="AC9" i="3"/>
  <c r="AC30" i="3"/>
  <c r="AC32" i="3"/>
  <c r="AC16" i="3"/>
  <c r="AC29" i="3"/>
  <c r="AC24" i="3"/>
  <c r="AC7" i="3"/>
  <c r="AC22" i="3"/>
  <c r="AC23" i="3"/>
  <c r="AC25" i="3"/>
  <c r="AC10" i="3"/>
  <c r="AC12" i="3"/>
  <c r="AC21" i="3"/>
  <c r="AC15" i="3"/>
  <c r="AC5" i="3"/>
  <c r="AC11" i="3"/>
  <c r="AC4" i="3"/>
  <c r="AC6" i="3"/>
  <c r="AC31" i="3"/>
  <c r="AC18" i="3"/>
  <c r="AC27" i="3"/>
  <c r="AC28" i="3"/>
  <c r="AC20" i="3"/>
  <c r="AC26" i="3"/>
  <c r="AC33" i="3"/>
  <c r="AC17" i="3"/>
  <c r="AC3" i="3"/>
  <c r="AC19" i="3"/>
  <c r="AC14" i="3"/>
  <c r="AC34" i="3"/>
  <c r="M50" i="2"/>
  <c r="N49" i="2"/>
  <c r="O49" i="2" s="1"/>
  <c r="N25" i="2"/>
  <c r="O25" i="2" s="1"/>
  <c r="M26" i="2"/>
  <c r="C25" i="2"/>
  <c r="F6" i="3" l="1"/>
  <c r="F3" i="3"/>
  <c r="M51" i="2"/>
  <c r="A50" i="2"/>
  <c r="C45" i="2"/>
  <c r="A26" i="2"/>
  <c r="C47" i="2"/>
  <c r="C49" i="2"/>
  <c r="N50" i="2"/>
  <c r="O50" i="2" s="1"/>
  <c r="C50" i="2"/>
  <c r="C48" i="2"/>
  <c r="C44" i="2"/>
  <c r="C46" i="2"/>
  <c r="C42" i="2"/>
  <c r="C43" i="2"/>
  <c r="C41" i="2"/>
  <c r="C40" i="2"/>
  <c r="C38" i="2"/>
  <c r="C39" i="2"/>
  <c r="C36" i="2"/>
  <c r="C37" i="2"/>
  <c r="C35" i="2"/>
  <c r="C33" i="2"/>
  <c r="C34" i="2"/>
  <c r="C32" i="2"/>
  <c r="C31" i="2"/>
  <c r="C30" i="2"/>
  <c r="C29" i="2"/>
  <c r="C28" i="2"/>
  <c r="C27" i="2"/>
  <c r="C26" i="2"/>
  <c r="N26" i="2"/>
  <c r="O26" i="2" s="1"/>
  <c r="K3" i="1" l="1"/>
  <c r="K6" i="1"/>
  <c r="K5" i="1"/>
  <c r="C51" i="2"/>
  <c r="N51" i="2"/>
  <c r="O51" i="2" s="1"/>
  <c r="H48" i="2" s="1"/>
  <c r="D48" i="2" s="1"/>
  <c r="P48" i="2" s="1"/>
  <c r="K4" i="1"/>
  <c r="A51" i="2"/>
  <c r="H49" i="2" l="1"/>
  <c r="D49" i="2" s="1"/>
  <c r="P49" i="2" s="1"/>
  <c r="H24" i="2"/>
  <c r="D24" i="2" s="1"/>
  <c r="P24" i="2" s="1"/>
  <c r="H26" i="2"/>
  <c r="D26" i="2" s="1"/>
  <c r="P26" i="2" s="1"/>
  <c r="H51" i="2"/>
  <c r="D51" i="2" s="1"/>
  <c r="P51" i="2" s="1"/>
  <c r="H22" i="2"/>
  <c r="D22" i="2" s="1"/>
  <c r="P22" i="2" s="1"/>
  <c r="H21" i="2"/>
  <c r="D21" i="2" s="1"/>
  <c r="P21" i="2" s="1"/>
  <c r="H45" i="2"/>
  <c r="D45" i="2" s="1"/>
  <c r="P45" i="2" s="1"/>
  <c r="H44" i="2"/>
  <c r="D44" i="2" s="1"/>
  <c r="P44" i="2" s="1"/>
  <c r="H40" i="2"/>
  <c r="D40" i="2" s="1"/>
  <c r="P40" i="2" s="1"/>
  <c r="H15" i="2"/>
  <c r="D15" i="2" s="1"/>
  <c r="P15" i="2" s="1"/>
  <c r="H13" i="2"/>
  <c r="D13" i="2" s="1"/>
  <c r="P13" i="2" s="1"/>
  <c r="H20" i="2"/>
  <c r="D20" i="2" s="1"/>
  <c r="P20" i="2" s="1"/>
  <c r="H19" i="2"/>
  <c r="D19" i="2" s="1"/>
  <c r="P19" i="2" s="1"/>
  <c r="H42" i="2"/>
  <c r="D42" i="2" s="1"/>
  <c r="P42" i="2" s="1"/>
  <c r="H43" i="2"/>
  <c r="D43" i="2" s="1"/>
  <c r="P43" i="2" s="1"/>
  <c r="H18" i="2"/>
  <c r="D18" i="2" s="1"/>
  <c r="P18" i="2" s="1"/>
  <c r="H17" i="2"/>
  <c r="D17" i="2" s="1"/>
  <c r="P17" i="2" s="1"/>
  <c r="H41" i="2"/>
  <c r="D41" i="2" s="1"/>
  <c r="P41" i="2" s="1"/>
  <c r="H16" i="2"/>
  <c r="D16" i="2" s="1"/>
  <c r="P16" i="2" s="1"/>
  <c r="H14" i="2"/>
  <c r="D14" i="2" s="1"/>
  <c r="P14" i="2" s="1"/>
  <c r="H39" i="2"/>
  <c r="D39" i="2" s="1"/>
  <c r="P39" i="2" s="1"/>
  <c r="H46" i="2"/>
  <c r="D46" i="2" s="1"/>
  <c r="P46" i="2" s="1"/>
  <c r="H38" i="2"/>
  <c r="D38" i="2" s="1"/>
  <c r="P38" i="2" s="1"/>
  <c r="H37" i="2"/>
  <c r="D37" i="2" s="1"/>
  <c r="P37" i="2" s="1"/>
  <c r="H12" i="2"/>
  <c r="D12" i="2" s="1"/>
  <c r="P12" i="2" s="1"/>
  <c r="H11" i="2"/>
  <c r="D11" i="2" s="1"/>
  <c r="P11" i="2" s="1"/>
  <c r="H6" i="2"/>
  <c r="D6" i="2" s="1"/>
  <c r="P6" i="2" s="1"/>
  <c r="H5" i="2"/>
  <c r="D5" i="2" s="1"/>
  <c r="P5" i="2" s="1"/>
  <c r="H23" i="2"/>
  <c r="D23" i="2" s="1"/>
  <c r="P23" i="2" s="1"/>
  <c r="H36" i="2"/>
  <c r="D36" i="2" s="1"/>
  <c r="P36" i="2" s="1"/>
  <c r="H35" i="2"/>
  <c r="D35" i="2" s="1"/>
  <c r="P35" i="2" s="1"/>
  <c r="H34" i="2"/>
  <c r="D34" i="2" s="1"/>
  <c r="P34" i="2" s="1"/>
  <c r="H9" i="2"/>
  <c r="D9" i="2" s="1"/>
  <c r="P9" i="2" s="1"/>
  <c r="H8" i="2"/>
  <c r="D8" i="2" s="1"/>
  <c r="P8" i="2" s="1"/>
  <c r="H7" i="2"/>
  <c r="D7" i="2" s="1"/>
  <c r="P7" i="2" s="1"/>
  <c r="H31" i="2"/>
  <c r="D31" i="2" s="1"/>
  <c r="P31" i="2" s="1"/>
  <c r="H29" i="2"/>
  <c r="D29" i="2" s="1"/>
  <c r="P29" i="2" s="1"/>
  <c r="H10" i="2"/>
  <c r="D10" i="2" s="1"/>
  <c r="P10" i="2" s="1"/>
  <c r="H33" i="2"/>
  <c r="D33" i="2" s="1"/>
  <c r="P33" i="2" s="1"/>
  <c r="H32" i="2"/>
  <c r="D32" i="2" s="1"/>
  <c r="P32" i="2" s="1"/>
  <c r="H30" i="2"/>
  <c r="D30" i="2" s="1"/>
  <c r="P30" i="2" s="1"/>
  <c r="H28" i="2"/>
  <c r="D28" i="2" s="1"/>
  <c r="P28" i="2" s="1"/>
  <c r="H4" i="2"/>
  <c r="D4" i="2" s="1"/>
  <c r="P4" i="2" s="1"/>
  <c r="H3" i="2"/>
  <c r="D3" i="2" s="1"/>
  <c r="P3" i="2" s="1"/>
  <c r="H27" i="2"/>
  <c r="D27" i="2" s="1"/>
  <c r="P27" i="2" s="1"/>
  <c r="H50" i="2"/>
  <c r="D50" i="2" s="1"/>
  <c r="P50" i="2" s="1"/>
  <c r="H47" i="2"/>
  <c r="D47" i="2" s="1"/>
  <c r="P47" i="2" s="1"/>
  <c r="H25" i="2"/>
  <c r="D25" i="2" s="1"/>
  <c r="P25" i="2" s="1"/>
  <c r="N4" i="1" l="1"/>
  <c r="N5" i="1"/>
  <c r="N3" i="1"/>
  <c r="N6" i="1"/>
  <c r="A140" i="4" l="1"/>
  <c r="U140" i="4" s="1"/>
  <c r="L6" i="1"/>
  <c r="M6" i="1" s="1"/>
  <c r="L5" i="1"/>
  <c r="M5" i="1" s="1"/>
  <c r="A125" i="4"/>
  <c r="U125" i="4" s="1"/>
  <c r="A134" i="4"/>
  <c r="U134" i="4" s="1"/>
  <c r="A128" i="4"/>
  <c r="U128" i="4" s="1"/>
  <c r="A123" i="4"/>
  <c r="U123" i="4" s="1"/>
  <c r="A120" i="4"/>
  <c r="U120" i="4" s="1"/>
  <c r="A118" i="4"/>
  <c r="U118" i="4" s="1"/>
  <c r="A116" i="4"/>
  <c r="U116" i="4" s="1"/>
  <c r="A114" i="4"/>
  <c r="U114" i="4" s="1"/>
  <c r="A111" i="4"/>
  <c r="U111" i="4" s="1"/>
  <c r="A107" i="4"/>
  <c r="U107" i="4" s="1"/>
  <c r="A108" i="4"/>
  <c r="U108" i="4" s="1"/>
  <c r="A105" i="4"/>
  <c r="U105" i="4" s="1"/>
  <c r="A103" i="4"/>
  <c r="U103" i="4" s="1"/>
  <c r="A101" i="4"/>
  <c r="U101" i="4" s="1"/>
  <c r="A151" i="4"/>
  <c r="U151" i="4" s="1"/>
  <c r="A149" i="4"/>
  <c r="U149" i="4" s="1"/>
  <c r="A147" i="4"/>
  <c r="U147" i="4" s="1"/>
  <c r="A144" i="4"/>
  <c r="U144" i="4" s="1"/>
  <c r="A142" i="4"/>
  <c r="U142" i="4" s="1"/>
  <c r="A139" i="4"/>
  <c r="U139" i="4" s="1"/>
  <c r="A137" i="4"/>
  <c r="U137" i="4" s="1"/>
  <c r="A135" i="4"/>
  <c r="U135" i="4" s="1"/>
  <c r="A127" i="4"/>
  <c r="U127" i="4" s="1"/>
  <c r="A133" i="4"/>
  <c r="U133" i="4" s="1"/>
  <c r="A132" i="4"/>
  <c r="U132" i="4" s="1"/>
  <c r="A129" i="4"/>
  <c r="U129" i="4" s="1"/>
  <c r="A124" i="4"/>
  <c r="U124" i="4" s="1"/>
  <c r="A122" i="4"/>
  <c r="U122" i="4" s="1"/>
  <c r="A121" i="4"/>
  <c r="U121" i="4" s="1"/>
  <c r="A119" i="4"/>
  <c r="U119" i="4" s="1"/>
  <c r="A117" i="4"/>
  <c r="U117" i="4" s="1"/>
  <c r="A115" i="4"/>
  <c r="U115" i="4" s="1"/>
  <c r="A112" i="4"/>
  <c r="U112" i="4" s="1"/>
  <c r="A110" i="4"/>
  <c r="U110" i="4" s="1"/>
  <c r="A109" i="4"/>
  <c r="U109" i="4" s="1"/>
  <c r="A113" i="4"/>
  <c r="U113" i="4" s="1"/>
  <c r="A106" i="4"/>
  <c r="U106" i="4" s="1"/>
  <c r="A104" i="4"/>
  <c r="U104" i="4" s="1"/>
  <c r="A102" i="4"/>
  <c r="U102" i="4" s="1"/>
  <c r="A152" i="4"/>
  <c r="U152" i="4" s="1"/>
  <c r="A150" i="4"/>
  <c r="U150" i="4" s="1"/>
  <c r="A148" i="4"/>
  <c r="U148" i="4" s="1"/>
  <c r="A146" i="4"/>
  <c r="U146" i="4" s="1"/>
  <c r="A145" i="4"/>
  <c r="U145" i="4" s="1"/>
  <c r="A143" i="4"/>
  <c r="U143" i="4" s="1"/>
  <c r="A141" i="4"/>
  <c r="U141" i="4" s="1"/>
  <c r="A138" i="4"/>
  <c r="U138" i="4" s="1"/>
  <c r="A136" i="4"/>
  <c r="U136" i="4" s="1"/>
  <c r="A131" i="4"/>
  <c r="U131" i="4" s="1"/>
  <c r="A126" i="4"/>
  <c r="U126" i="4" s="1"/>
  <c r="L3" i="1"/>
  <c r="M3" i="1" s="1"/>
  <c r="A130" i="4"/>
  <c r="U130" i="4" s="1"/>
  <c r="L4" i="1"/>
  <c r="M4" i="1" s="1"/>
  <c r="L140" i="4" l="1"/>
  <c r="S140" i="4"/>
  <c r="W140" i="4"/>
  <c r="X140" i="4" s="1"/>
  <c r="V140" i="4"/>
  <c r="V125" i="4"/>
  <c r="W125" i="4"/>
  <c r="X125" i="4" s="1"/>
  <c r="L125" i="4"/>
  <c r="S125" i="4"/>
  <c r="W134" i="4"/>
  <c r="X134" i="4" s="1"/>
  <c r="L134" i="4"/>
  <c r="S134" i="4"/>
  <c r="V134" i="4"/>
  <c r="W128" i="4"/>
  <c r="X128" i="4" s="1"/>
  <c r="V128" i="4"/>
  <c r="L128" i="4"/>
  <c r="S128" i="4"/>
  <c r="V123" i="4"/>
  <c r="W123" i="4"/>
  <c r="X123" i="4" s="1"/>
  <c r="L123" i="4"/>
  <c r="S123" i="4"/>
  <c r="W120" i="4"/>
  <c r="X120" i="4" s="1"/>
  <c r="L120" i="4"/>
  <c r="S120" i="4"/>
  <c r="V120" i="4"/>
  <c r="V118" i="4"/>
  <c r="W118" i="4"/>
  <c r="X118" i="4" s="1"/>
  <c r="L118" i="4"/>
  <c r="S118" i="4"/>
  <c r="V116" i="4"/>
  <c r="W116" i="4"/>
  <c r="X116" i="4" s="1"/>
  <c r="L116" i="4"/>
  <c r="S116" i="4"/>
  <c r="W114" i="4"/>
  <c r="X114" i="4" s="1"/>
  <c r="L114" i="4"/>
  <c r="S114" i="4"/>
  <c r="V114" i="4"/>
  <c r="L111" i="4"/>
  <c r="S111" i="4"/>
  <c r="V111" i="4"/>
  <c r="W111" i="4"/>
  <c r="X111" i="4" s="1"/>
  <c r="V107" i="4"/>
  <c r="W107" i="4"/>
  <c r="X107" i="4" s="1"/>
  <c r="L107" i="4"/>
  <c r="S107" i="4"/>
  <c r="V108" i="4"/>
  <c r="W108" i="4"/>
  <c r="X108" i="4" s="1"/>
  <c r="L108" i="4"/>
  <c r="S108" i="4"/>
  <c r="W105" i="4"/>
  <c r="X105" i="4" s="1"/>
  <c r="L105" i="4"/>
  <c r="S105" i="4"/>
  <c r="V105" i="4"/>
  <c r="W103" i="4"/>
  <c r="X103" i="4" s="1"/>
  <c r="L103" i="4"/>
  <c r="S103" i="4"/>
  <c r="V103" i="4"/>
  <c r="L101" i="4"/>
  <c r="S101" i="4"/>
  <c r="V101" i="4"/>
  <c r="W101" i="4"/>
  <c r="X101" i="4" s="1"/>
  <c r="L151" i="4"/>
  <c r="S151" i="4"/>
  <c r="W151" i="4"/>
  <c r="X151" i="4" s="1"/>
  <c r="V151" i="4"/>
  <c r="W149" i="4"/>
  <c r="X149" i="4" s="1"/>
  <c r="V149" i="4"/>
  <c r="L149" i="4"/>
  <c r="S149" i="4"/>
  <c r="V147" i="4"/>
  <c r="W147" i="4"/>
  <c r="X147" i="4" s="1"/>
  <c r="L147" i="4"/>
  <c r="S147" i="4"/>
  <c r="L144" i="4"/>
  <c r="S144" i="4"/>
  <c r="V144" i="4"/>
  <c r="W144" i="4"/>
  <c r="X144" i="4" s="1"/>
  <c r="W142" i="4"/>
  <c r="X142" i="4" s="1"/>
  <c r="V142" i="4"/>
  <c r="L142" i="4"/>
  <c r="S142" i="4"/>
  <c r="V139" i="4"/>
  <c r="W139" i="4"/>
  <c r="X139" i="4" s="1"/>
  <c r="L139" i="4"/>
  <c r="S139" i="4"/>
  <c r="W137" i="4"/>
  <c r="X137" i="4" s="1"/>
  <c r="V137" i="4"/>
  <c r="L137" i="4"/>
  <c r="S137" i="4"/>
  <c r="V135" i="4"/>
  <c r="L135" i="4"/>
  <c r="S135" i="4"/>
  <c r="W135" i="4"/>
  <c r="X135" i="4" s="1"/>
  <c r="W127" i="4"/>
  <c r="X127" i="4" s="1"/>
  <c r="V127" i="4"/>
  <c r="L127" i="4"/>
  <c r="S127" i="4"/>
  <c r="L133" i="4"/>
  <c r="S133" i="4"/>
  <c r="W133" i="4"/>
  <c r="X133" i="4" s="1"/>
  <c r="V133" i="4"/>
  <c r="L132" i="4"/>
  <c r="S132" i="4"/>
  <c r="V132" i="4"/>
  <c r="W132" i="4"/>
  <c r="X132" i="4" s="1"/>
  <c r="W129" i="4"/>
  <c r="X129" i="4" s="1"/>
  <c r="L129" i="4"/>
  <c r="S129" i="4"/>
  <c r="V129" i="4"/>
  <c r="L124" i="4"/>
  <c r="S124" i="4"/>
  <c r="V124" i="4"/>
  <c r="W124" i="4"/>
  <c r="X124" i="4" s="1"/>
  <c r="W122" i="4"/>
  <c r="X122" i="4" s="1"/>
  <c r="V122" i="4"/>
  <c r="L122" i="4"/>
  <c r="S122" i="4"/>
  <c r="W121" i="4"/>
  <c r="X121" i="4" s="1"/>
  <c r="V121" i="4"/>
  <c r="L121" i="4"/>
  <c r="S121" i="4"/>
  <c r="W119" i="4"/>
  <c r="X119" i="4" s="1"/>
  <c r="V119" i="4"/>
  <c r="L119" i="4"/>
  <c r="S119" i="4"/>
  <c r="L117" i="4"/>
  <c r="S117" i="4"/>
  <c r="V117" i="4"/>
  <c r="W117" i="4"/>
  <c r="X117" i="4" s="1"/>
  <c r="V115" i="4"/>
  <c r="L115" i="4"/>
  <c r="S115" i="4"/>
  <c r="W115" i="4"/>
  <c r="X115" i="4" s="1"/>
  <c r="W112" i="4"/>
  <c r="X112" i="4" s="1"/>
  <c r="V112" i="4"/>
  <c r="L112" i="4"/>
  <c r="S112" i="4"/>
  <c r="V110" i="4"/>
  <c r="W110" i="4"/>
  <c r="X110" i="4" s="1"/>
  <c r="L110" i="4"/>
  <c r="S110" i="4"/>
  <c r="L109" i="4"/>
  <c r="S109" i="4"/>
  <c r="W109" i="4"/>
  <c r="X109" i="4" s="1"/>
  <c r="V109" i="4"/>
  <c r="V113" i="4"/>
  <c r="W113" i="4"/>
  <c r="X113" i="4" s="1"/>
  <c r="L113" i="4"/>
  <c r="S113" i="4"/>
  <c r="V106" i="4"/>
  <c r="W106" i="4"/>
  <c r="X106" i="4" s="1"/>
  <c r="L106" i="4"/>
  <c r="S106" i="4"/>
  <c r="L104" i="4"/>
  <c r="S104" i="4"/>
  <c r="V104" i="4"/>
  <c r="W104" i="4"/>
  <c r="X104" i="4" s="1"/>
  <c r="W102" i="4"/>
  <c r="X102" i="4" s="1"/>
  <c r="V102" i="4"/>
  <c r="L102" i="4"/>
  <c r="S102" i="4"/>
  <c r="V152" i="4"/>
  <c r="L152" i="4"/>
  <c r="S152" i="4"/>
  <c r="W152" i="4"/>
  <c r="X152" i="4" s="1"/>
  <c r="V150" i="4"/>
  <c r="W150" i="4"/>
  <c r="X150" i="4" s="1"/>
  <c r="L150" i="4"/>
  <c r="S150" i="4"/>
  <c r="W148" i="4"/>
  <c r="X148" i="4" s="1"/>
  <c r="V148" i="4"/>
  <c r="L148" i="4"/>
  <c r="S148" i="4"/>
  <c r="W146" i="4"/>
  <c r="X146" i="4" s="1"/>
  <c r="L146" i="4"/>
  <c r="S146" i="4"/>
  <c r="V146" i="4"/>
  <c r="W145" i="4"/>
  <c r="X145" i="4" s="1"/>
  <c r="V145" i="4"/>
  <c r="L145" i="4"/>
  <c r="S145" i="4"/>
  <c r="V143" i="4"/>
  <c r="W143" i="4"/>
  <c r="X143" i="4" s="1"/>
  <c r="L143" i="4"/>
  <c r="S143" i="4"/>
  <c r="V141" i="4"/>
  <c r="W141" i="4"/>
  <c r="X141" i="4" s="1"/>
  <c r="L141" i="4"/>
  <c r="S141" i="4"/>
  <c r="V138" i="4"/>
  <c r="W138" i="4"/>
  <c r="X138" i="4" s="1"/>
  <c r="L138" i="4"/>
  <c r="S138" i="4"/>
  <c r="L136" i="4"/>
  <c r="S136" i="4"/>
  <c r="V136" i="4"/>
  <c r="W136" i="4"/>
  <c r="X136" i="4" s="1"/>
  <c r="W131" i="4"/>
  <c r="X131" i="4" s="1"/>
  <c r="V131" i="4"/>
  <c r="L131" i="4"/>
  <c r="S131" i="4"/>
  <c r="W126" i="4"/>
  <c r="X126" i="4" s="1"/>
  <c r="L126" i="4"/>
  <c r="S126" i="4"/>
  <c r="V126" i="4"/>
  <c r="V130" i="4"/>
  <c r="W130" i="4"/>
  <c r="X130" i="4" s="1"/>
  <c r="L130" i="4"/>
  <c r="S130" i="4"/>
  <c r="B140" i="4"/>
  <c r="C140" i="4"/>
  <c r="D140" i="4"/>
  <c r="E140" i="4"/>
  <c r="R140" i="4" s="1"/>
  <c r="F140" i="4"/>
  <c r="G140" i="4"/>
  <c r="H140" i="4"/>
  <c r="I140" i="4"/>
  <c r="J140" i="4"/>
  <c r="M140" i="4"/>
  <c r="N140" i="4"/>
  <c r="O140" i="4"/>
  <c r="P140" i="4"/>
  <c r="Q140" i="4"/>
  <c r="K140" i="4"/>
  <c r="K149" i="4"/>
  <c r="C149" i="4"/>
  <c r="P149" i="4"/>
  <c r="O149" i="4"/>
  <c r="G149" i="4"/>
  <c r="N149" i="4"/>
  <c r="M149" i="4"/>
  <c r="H149" i="4"/>
  <c r="J149" i="4"/>
  <c r="I149" i="4"/>
  <c r="B149" i="4"/>
  <c r="D149" i="4"/>
  <c r="E149" i="4"/>
  <c r="R149" i="4" s="1"/>
  <c r="F149" i="4"/>
  <c r="Q149" i="4"/>
  <c r="K147" i="4"/>
  <c r="I147" i="4"/>
  <c r="J147" i="4"/>
  <c r="M147" i="4"/>
  <c r="O147" i="4"/>
  <c r="P147" i="4"/>
  <c r="Q147" i="4"/>
  <c r="N147" i="4"/>
  <c r="B147" i="4"/>
  <c r="C147" i="4"/>
  <c r="D147" i="4"/>
  <c r="E147" i="4"/>
  <c r="R147" i="4" s="1"/>
  <c r="F147" i="4"/>
  <c r="G147" i="4"/>
  <c r="H147" i="4"/>
  <c r="K144" i="4"/>
  <c r="P144" i="4"/>
  <c r="C144" i="4"/>
  <c r="Q144" i="4"/>
  <c r="D144" i="4"/>
  <c r="G144" i="4"/>
  <c r="E144" i="4"/>
  <c r="R144" i="4" s="1"/>
  <c r="F144" i="4"/>
  <c r="B144" i="4"/>
  <c r="H144" i="4"/>
  <c r="I144" i="4"/>
  <c r="J144" i="4"/>
  <c r="M144" i="4"/>
  <c r="N144" i="4"/>
  <c r="O144" i="4"/>
  <c r="K142" i="4"/>
  <c r="C142" i="4"/>
  <c r="Q142" i="4"/>
  <c r="P142" i="4"/>
  <c r="O142" i="4"/>
  <c r="N142" i="4"/>
  <c r="J142" i="4"/>
  <c r="M142" i="4"/>
  <c r="F142" i="4"/>
  <c r="B142" i="4"/>
  <c r="D142" i="4"/>
  <c r="G142" i="4"/>
  <c r="E142" i="4"/>
  <c r="R142" i="4" s="1"/>
  <c r="H142" i="4"/>
  <c r="I142" i="4"/>
  <c r="H152" i="4"/>
  <c r="I152" i="4"/>
  <c r="J152" i="4"/>
  <c r="M152" i="4"/>
  <c r="N152" i="4"/>
  <c r="O152" i="4"/>
  <c r="P152" i="4"/>
  <c r="Q152" i="4"/>
  <c r="E152" i="4"/>
  <c r="R152" i="4" s="1"/>
  <c r="C152" i="4"/>
  <c r="D152" i="4"/>
  <c r="B152" i="4"/>
  <c r="K152" i="4"/>
  <c r="F152" i="4"/>
  <c r="G152" i="4"/>
  <c r="B150" i="4"/>
  <c r="D150" i="4"/>
  <c r="E150" i="4"/>
  <c r="R150" i="4" s="1"/>
  <c r="F150" i="4"/>
  <c r="G150" i="4"/>
  <c r="H150" i="4"/>
  <c r="J150" i="4"/>
  <c r="M150" i="4"/>
  <c r="N150" i="4"/>
  <c r="O150" i="4"/>
  <c r="P150" i="4"/>
  <c r="Q150" i="4"/>
  <c r="K150" i="4"/>
  <c r="C150" i="4"/>
  <c r="I150" i="4"/>
  <c r="M148" i="4"/>
  <c r="B148" i="4"/>
  <c r="C148" i="4"/>
  <c r="J148" i="4"/>
  <c r="O148" i="4"/>
  <c r="I148" i="4"/>
  <c r="Q148" i="4"/>
  <c r="H148" i="4"/>
  <c r="G148" i="4"/>
  <c r="F148" i="4"/>
  <c r="E148" i="4"/>
  <c r="R148" i="4" s="1"/>
  <c r="D148" i="4"/>
  <c r="K148" i="4"/>
  <c r="P148" i="4"/>
  <c r="N148" i="4"/>
  <c r="P146" i="4"/>
  <c r="N146" i="4"/>
  <c r="B146" i="4"/>
  <c r="F146" i="4"/>
  <c r="E146" i="4"/>
  <c r="R146" i="4" s="1"/>
  <c r="D146" i="4"/>
  <c r="C146" i="4"/>
  <c r="K146" i="4"/>
  <c r="J146" i="4"/>
  <c r="I146" i="4"/>
  <c r="G146" i="4"/>
  <c r="O146" i="4"/>
  <c r="M146" i="4"/>
  <c r="Q146" i="4"/>
  <c r="H146" i="4"/>
  <c r="Q145" i="4"/>
  <c r="O145" i="4"/>
  <c r="N145" i="4"/>
  <c r="J145" i="4"/>
  <c r="F145" i="4"/>
  <c r="D145" i="4"/>
  <c r="B145" i="4"/>
  <c r="P145" i="4"/>
  <c r="E145" i="4"/>
  <c r="R145" i="4" s="1"/>
  <c r="C145" i="4"/>
  <c r="K145" i="4"/>
  <c r="M145" i="4"/>
  <c r="H145" i="4"/>
  <c r="G145" i="4"/>
  <c r="I145" i="4"/>
  <c r="Q143" i="4"/>
  <c r="B143" i="4"/>
  <c r="P143" i="4"/>
  <c r="C143" i="4"/>
  <c r="N143" i="4"/>
  <c r="D143" i="4"/>
  <c r="M143" i="4"/>
  <c r="J143" i="4"/>
  <c r="E143" i="4"/>
  <c r="R143" i="4" s="1"/>
  <c r="K143" i="4"/>
  <c r="H143" i="4"/>
  <c r="O143" i="4"/>
  <c r="G143" i="4"/>
  <c r="F143" i="4"/>
  <c r="I143" i="4"/>
  <c r="B141" i="4"/>
  <c r="C141" i="4"/>
  <c r="D141" i="4"/>
  <c r="E141" i="4"/>
  <c r="R141" i="4" s="1"/>
  <c r="K141" i="4"/>
  <c r="K138" i="4"/>
  <c r="K136" i="4"/>
  <c r="K131" i="4"/>
  <c r="C125" i="4"/>
  <c r="N125" i="4"/>
  <c r="Q125" i="4"/>
  <c r="P125" i="4"/>
  <c r="B125" i="4"/>
  <c r="O125" i="4"/>
  <c r="K125" i="4"/>
  <c r="E125" i="4"/>
  <c r="R125" i="4" s="1"/>
  <c r="F125" i="4"/>
  <c r="D125" i="4"/>
  <c r="G125" i="4"/>
  <c r="H125" i="4"/>
  <c r="I125" i="4"/>
  <c r="J125" i="4"/>
  <c r="M125" i="4"/>
  <c r="I134" i="4"/>
  <c r="K134" i="4"/>
  <c r="O134" i="4"/>
  <c r="M134" i="4"/>
  <c r="G134" i="4"/>
  <c r="E134" i="4"/>
  <c r="R134" i="4" s="1"/>
  <c r="D134" i="4"/>
  <c r="B134" i="4"/>
  <c r="H134" i="4"/>
  <c r="F134" i="4"/>
  <c r="P134" i="4"/>
  <c r="Q134" i="4"/>
  <c r="N134" i="4"/>
  <c r="J134" i="4"/>
  <c r="C134" i="4"/>
  <c r="F128" i="4"/>
  <c r="H128" i="4"/>
  <c r="J128" i="4"/>
  <c r="M128" i="4"/>
  <c r="O128" i="4"/>
  <c r="Q128" i="4"/>
  <c r="B128" i="4"/>
  <c r="D128" i="4"/>
  <c r="P128" i="4"/>
  <c r="N128" i="4"/>
  <c r="G128" i="4"/>
  <c r="E128" i="4"/>
  <c r="R128" i="4" s="1"/>
  <c r="C128" i="4"/>
  <c r="K128" i="4"/>
  <c r="I128" i="4"/>
  <c r="C123" i="4"/>
  <c r="P123" i="4"/>
  <c r="F123" i="4"/>
  <c r="H123" i="4"/>
  <c r="J123" i="4"/>
  <c r="O123" i="4"/>
  <c r="K123" i="4"/>
  <c r="M123" i="4"/>
  <c r="D123" i="4"/>
  <c r="Q123" i="4"/>
  <c r="B123" i="4"/>
  <c r="E123" i="4"/>
  <c r="R123" i="4" s="1"/>
  <c r="G123" i="4"/>
  <c r="I123" i="4"/>
  <c r="N123" i="4"/>
  <c r="B120" i="4"/>
  <c r="F120" i="4"/>
  <c r="P120" i="4"/>
  <c r="I120" i="4"/>
  <c r="O120" i="4"/>
  <c r="G120" i="4"/>
  <c r="D120" i="4"/>
  <c r="C120" i="4"/>
  <c r="M120" i="4"/>
  <c r="J120" i="4"/>
  <c r="H120" i="4"/>
  <c r="E120" i="4"/>
  <c r="R120" i="4" s="1"/>
  <c r="K120" i="4"/>
  <c r="N120" i="4"/>
  <c r="Q120" i="4"/>
  <c r="D118" i="4"/>
  <c r="Q118" i="4"/>
  <c r="M118" i="4"/>
  <c r="I118" i="4"/>
  <c r="E118" i="4"/>
  <c r="R118" i="4" s="1"/>
  <c r="K118" i="4"/>
  <c r="B118" i="4"/>
  <c r="F118" i="4"/>
  <c r="N118" i="4"/>
  <c r="P118" i="4"/>
  <c r="J118" i="4"/>
  <c r="G118" i="4"/>
  <c r="O118" i="4"/>
  <c r="H118" i="4"/>
  <c r="C118" i="4"/>
  <c r="H116" i="4"/>
  <c r="M116" i="4"/>
  <c r="P116" i="4"/>
  <c r="I116" i="4"/>
  <c r="N116" i="4"/>
  <c r="Q116" i="4"/>
  <c r="J116" i="4"/>
  <c r="D116" i="4"/>
  <c r="O116" i="4"/>
  <c r="B116" i="4"/>
  <c r="F116" i="4"/>
  <c r="E116" i="4"/>
  <c r="R116" i="4" s="1"/>
  <c r="K116" i="4"/>
  <c r="G116" i="4"/>
  <c r="C116" i="4"/>
  <c r="J114" i="4"/>
  <c r="O114" i="4"/>
  <c r="E114" i="4"/>
  <c r="R114" i="4" s="1"/>
  <c r="I114" i="4"/>
  <c r="H114" i="4"/>
  <c r="M114" i="4"/>
  <c r="Q114" i="4"/>
  <c r="N114" i="4"/>
  <c r="B114" i="4"/>
  <c r="P114" i="4"/>
  <c r="D114" i="4"/>
  <c r="F114" i="4"/>
  <c r="C114" i="4"/>
  <c r="G114" i="4"/>
  <c r="K114" i="4"/>
  <c r="M111" i="4"/>
  <c r="Q111" i="4"/>
  <c r="G111" i="4"/>
  <c r="D111" i="4"/>
  <c r="I111" i="4"/>
  <c r="P111" i="4"/>
  <c r="H111" i="4"/>
  <c r="O111" i="4"/>
  <c r="N111" i="4"/>
  <c r="B111" i="4"/>
  <c r="J111" i="4"/>
  <c r="E111" i="4"/>
  <c r="R111" i="4" s="1"/>
  <c r="C111" i="4"/>
  <c r="K111" i="4"/>
  <c r="F111" i="4"/>
  <c r="B107" i="4"/>
  <c r="E107" i="4"/>
  <c r="R107" i="4" s="1"/>
  <c r="D107" i="4"/>
  <c r="Q107" i="4"/>
  <c r="P107" i="4"/>
  <c r="O107" i="4"/>
  <c r="N107" i="4"/>
  <c r="M107" i="4"/>
  <c r="J107" i="4"/>
  <c r="I107" i="4"/>
  <c r="H107" i="4"/>
  <c r="G107" i="4"/>
  <c r="F107" i="4"/>
  <c r="C107" i="4"/>
  <c r="K107" i="4"/>
  <c r="E108" i="4"/>
  <c r="R108" i="4" s="1"/>
  <c r="G108" i="4"/>
  <c r="H108" i="4"/>
  <c r="J108" i="4"/>
  <c r="N108" i="4"/>
  <c r="O108" i="4"/>
  <c r="P108" i="4"/>
  <c r="K108" i="4"/>
  <c r="M108" i="4"/>
  <c r="Q108" i="4"/>
  <c r="I108" i="4"/>
  <c r="B108" i="4"/>
  <c r="D108" i="4"/>
  <c r="F108" i="4"/>
  <c r="C108" i="4"/>
  <c r="K105" i="4"/>
  <c r="G105" i="4"/>
  <c r="N105" i="4"/>
  <c r="J105" i="4"/>
  <c r="E105" i="4"/>
  <c r="R105" i="4" s="1"/>
  <c r="M105" i="4"/>
  <c r="I105" i="4"/>
  <c r="H105" i="4"/>
  <c r="F105" i="4"/>
  <c r="D105" i="4"/>
  <c r="C105" i="4"/>
  <c r="B105" i="4"/>
  <c r="O105" i="4"/>
  <c r="Q105" i="4"/>
  <c r="P105" i="4"/>
  <c r="Q103" i="4"/>
  <c r="O103" i="4"/>
  <c r="N103" i="4"/>
  <c r="M103" i="4"/>
  <c r="J103" i="4"/>
  <c r="I103" i="4"/>
  <c r="C103" i="4"/>
  <c r="B103" i="4"/>
  <c r="K103" i="4"/>
  <c r="P103" i="4"/>
  <c r="D103" i="4"/>
  <c r="E103" i="4"/>
  <c r="R103" i="4" s="1"/>
  <c r="F103" i="4"/>
  <c r="G103" i="4"/>
  <c r="H103" i="4"/>
  <c r="H101" i="4"/>
  <c r="N101" i="4"/>
  <c r="J101" i="4"/>
  <c r="D101" i="4"/>
  <c r="K101" i="4"/>
  <c r="B101" i="4"/>
  <c r="G101" i="4"/>
  <c r="M101" i="4"/>
  <c r="Q101" i="4"/>
  <c r="C101" i="4"/>
  <c r="O101" i="4"/>
  <c r="E101" i="4"/>
  <c r="R101" i="4" s="1"/>
  <c r="F101" i="4"/>
  <c r="P101" i="4"/>
  <c r="I101" i="4"/>
  <c r="C151" i="4"/>
  <c r="D151" i="4"/>
  <c r="E151" i="4"/>
  <c r="R151" i="4" s="1"/>
  <c r="F151" i="4"/>
  <c r="G151" i="4"/>
  <c r="H151" i="4"/>
  <c r="I151" i="4"/>
  <c r="J151" i="4"/>
  <c r="M151" i="4"/>
  <c r="N151" i="4"/>
  <c r="O151" i="4"/>
  <c r="P151" i="4"/>
  <c r="Q151" i="4"/>
  <c r="B151" i="4"/>
  <c r="K151" i="4"/>
  <c r="G139" i="4"/>
  <c r="M139" i="4"/>
  <c r="K139" i="4"/>
  <c r="N139" i="4"/>
  <c r="P139" i="4"/>
  <c r="Q139" i="4"/>
  <c r="B139" i="4"/>
  <c r="C139" i="4"/>
  <c r="D139" i="4"/>
  <c r="E139" i="4"/>
  <c r="R139" i="4" s="1"/>
  <c r="F139" i="4"/>
  <c r="O139" i="4"/>
  <c r="H139" i="4"/>
  <c r="I139" i="4"/>
  <c r="J139" i="4"/>
  <c r="E137" i="4"/>
  <c r="R137" i="4" s="1"/>
  <c r="F137" i="4"/>
  <c r="G137" i="4"/>
  <c r="K137" i="4"/>
  <c r="I137" i="4"/>
  <c r="J137" i="4"/>
  <c r="M137" i="4"/>
  <c r="H137" i="4"/>
  <c r="B137" i="4"/>
  <c r="O137" i="4"/>
  <c r="N137" i="4"/>
  <c r="C137" i="4"/>
  <c r="P137" i="4"/>
  <c r="Q137" i="4"/>
  <c r="D137" i="4"/>
  <c r="B135" i="4"/>
  <c r="C135" i="4"/>
  <c r="D135" i="4"/>
  <c r="F135" i="4"/>
  <c r="G135" i="4"/>
  <c r="H135" i="4"/>
  <c r="I135" i="4"/>
  <c r="J135" i="4"/>
  <c r="M135" i="4"/>
  <c r="Q135" i="4"/>
  <c r="P135" i="4"/>
  <c r="K135" i="4"/>
  <c r="O135" i="4"/>
  <c r="N135" i="4"/>
  <c r="E135" i="4"/>
  <c r="R135" i="4" s="1"/>
  <c r="N127" i="4"/>
  <c r="O127" i="4"/>
  <c r="P127" i="4"/>
  <c r="H127" i="4"/>
  <c r="Q127" i="4"/>
  <c r="F127" i="4"/>
  <c r="G127" i="4"/>
  <c r="B127" i="4"/>
  <c r="C127" i="4"/>
  <c r="K127" i="4"/>
  <c r="J127" i="4"/>
  <c r="M127" i="4"/>
  <c r="D127" i="4"/>
  <c r="I127" i="4"/>
  <c r="E127" i="4"/>
  <c r="R127" i="4" s="1"/>
  <c r="B133" i="4"/>
  <c r="D133" i="4"/>
  <c r="E133" i="4"/>
  <c r="R133" i="4" s="1"/>
  <c r="G133" i="4"/>
  <c r="O133" i="4"/>
  <c r="N133" i="4"/>
  <c r="P133" i="4"/>
  <c r="M133" i="4"/>
  <c r="J133" i="4"/>
  <c r="H133" i="4"/>
  <c r="F133" i="4"/>
  <c r="C133" i="4"/>
  <c r="K133" i="4"/>
  <c r="I133" i="4"/>
  <c r="Q133" i="4"/>
  <c r="J132" i="4"/>
  <c r="B132" i="4"/>
  <c r="D132" i="4"/>
  <c r="E132" i="4"/>
  <c r="R132" i="4" s="1"/>
  <c r="G132" i="4"/>
  <c r="H132" i="4"/>
  <c r="P132" i="4"/>
  <c r="M132" i="4"/>
  <c r="O132" i="4"/>
  <c r="K132" i="4"/>
  <c r="N132" i="4"/>
  <c r="C132" i="4"/>
  <c r="F132" i="4"/>
  <c r="I132" i="4"/>
  <c r="Q132" i="4"/>
  <c r="Q129" i="4"/>
  <c r="C129" i="4"/>
  <c r="J129" i="4"/>
  <c r="N129" i="4"/>
  <c r="K129" i="4"/>
  <c r="O129" i="4"/>
  <c r="I129" i="4"/>
  <c r="M129" i="4"/>
  <c r="H129" i="4"/>
  <c r="E129" i="4"/>
  <c r="R129" i="4" s="1"/>
  <c r="B129" i="4"/>
  <c r="F129" i="4"/>
  <c r="D129" i="4"/>
  <c r="G129" i="4"/>
  <c r="P129" i="4"/>
  <c r="N124" i="4"/>
  <c r="B124" i="4"/>
  <c r="C124" i="4"/>
  <c r="D124" i="4"/>
  <c r="G124" i="4"/>
  <c r="P124" i="4"/>
  <c r="H124" i="4"/>
  <c r="F124" i="4"/>
  <c r="O124" i="4"/>
  <c r="J124" i="4"/>
  <c r="E124" i="4"/>
  <c r="R124" i="4" s="1"/>
  <c r="M124" i="4"/>
  <c r="Q124" i="4"/>
  <c r="K124" i="4"/>
  <c r="I124" i="4"/>
  <c r="J122" i="4"/>
  <c r="M122" i="4"/>
  <c r="N122" i="4"/>
  <c r="O122" i="4"/>
  <c r="B122" i="4"/>
  <c r="D122" i="4"/>
  <c r="F122" i="4"/>
  <c r="G122" i="4"/>
  <c r="I122" i="4"/>
  <c r="P122" i="4"/>
  <c r="Q122" i="4"/>
  <c r="C122" i="4"/>
  <c r="E122" i="4"/>
  <c r="R122" i="4" s="1"/>
  <c r="K122" i="4"/>
  <c r="H122" i="4"/>
  <c r="G121" i="4"/>
  <c r="H121" i="4"/>
  <c r="O121" i="4"/>
  <c r="J121" i="4"/>
  <c r="N121" i="4"/>
  <c r="F121" i="4"/>
  <c r="P121" i="4"/>
  <c r="B121" i="4"/>
  <c r="C121" i="4"/>
  <c r="K121" i="4"/>
  <c r="D121" i="4"/>
  <c r="Q121" i="4"/>
  <c r="M121" i="4"/>
  <c r="E121" i="4"/>
  <c r="R121" i="4" s="1"/>
  <c r="I121" i="4"/>
  <c r="Q119" i="4"/>
  <c r="N119" i="4"/>
  <c r="J119" i="4"/>
  <c r="G119" i="4"/>
  <c r="K119" i="4"/>
  <c r="P119" i="4"/>
  <c r="B119" i="4"/>
  <c r="D119" i="4"/>
  <c r="E119" i="4"/>
  <c r="R119" i="4" s="1"/>
  <c r="I119" i="4"/>
  <c r="M119" i="4"/>
  <c r="O119" i="4"/>
  <c r="C119" i="4"/>
  <c r="H119" i="4"/>
  <c r="F119" i="4"/>
  <c r="E117" i="4"/>
  <c r="R117" i="4" s="1"/>
  <c r="B117" i="4"/>
  <c r="G117" i="4"/>
  <c r="M117" i="4"/>
  <c r="Q117" i="4"/>
  <c r="H117" i="4"/>
  <c r="K117" i="4"/>
  <c r="O117" i="4"/>
  <c r="P117" i="4"/>
  <c r="J117" i="4"/>
  <c r="F117" i="4"/>
  <c r="C117" i="4"/>
  <c r="D117" i="4"/>
  <c r="I117" i="4"/>
  <c r="N117" i="4"/>
  <c r="F115" i="4"/>
  <c r="I115" i="4"/>
  <c r="N115" i="4"/>
  <c r="Q115" i="4"/>
  <c r="P115" i="4"/>
  <c r="M115" i="4"/>
  <c r="G115" i="4"/>
  <c r="D115" i="4"/>
  <c r="C115" i="4"/>
  <c r="H115" i="4"/>
  <c r="O115" i="4"/>
  <c r="J115" i="4"/>
  <c r="K115" i="4"/>
  <c r="E115" i="4"/>
  <c r="R115" i="4" s="1"/>
  <c r="B115" i="4"/>
  <c r="G112" i="4"/>
  <c r="B112" i="4"/>
  <c r="O112" i="4"/>
  <c r="J112" i="4"/>
  <c r="N112" i="4"/>
  <c r="F112" i="4"/>
  <c r="H112" i="4"/>
  <c r="K112" i="4"/>
  <c r="D112" i="4"/>
  <c r="M112" i="4"/>
  <c r="Q112" i="4"/>
  <c r="I112" i="4"/>
  <c r="E112" i="4"/>
  <c r="R112" i="4" s="1"/>
  <c r="C112" i="4"/>
  <c r="P112" i="4"/>
  <c r="B110" i="4"/>
  <c r="C110" i="4"/>
  <c r="D110" i="4"/>
  <c r="F110" i="4"/>
  <c r="H110" i="4"/>
  <c r="N110" i="4"/>
  <c r="P110" i="4"/>
  <c r="K110" i="4"/>
  <c r="Q110" i="4"/>
  <c r="E110" i="4"/>
  <c r="R110" i="4" s="1"/>
  <c r="G110" i="4"/>
  <c r="I110" i="4"/>
  <c r="J110" i="4"/>
  <c r="M110" i="4"/>
  <c r="O110" i="4"/>
  <c r="C109" i="4"/>
  <c r="M109" i="4"/>
  <c r="K109" i="4"/>
  <c r="Q109" i="4"/>
  <c r="P109" i="4"/>
  <c r="O109" i="4"/>
  <c r="D109" i="4"/>
  <c r="N109" i="4"/>
  <c r="E109" i="4"/>
  <c r="R109" i="4" s="1"/>
  <c r="H109" i="4"/>
  <c r="J109" i="4"/>
  <c r="B109" i="4"/>
  <c r="F109" i="4"/>
  <c r="G109" i="4"/>
  <c r="I109" i="4"/>
  <c r="P113" i="4"/>
  <c r="Q113" i="4"/>
  <c r="O113" i="4"/>
  <c r="K113" i="4"/>
  <c r="D113" i="4"/>
  <c r="C113" i="4"/>
  <c r="E113" i="4"/>
  <c r="R113" i="4" s="1"/>
  <c r="G113" i="4"/>
  <c r="B113" i="4"/>
  <c r="F113" i="4"/>
  <c r="H113" i="4"/>
  <c r="I113" i="4"/>
  <c r="J113" i="4"/>
  <c r="M113" i="4"/>
  <c r="N113" i="4"/>
  <c r="J106" i="4"/>
  <c r="I106" i="4"/>
  <c r="G106" i="4"/>
  <c r="E106" i="4"/>
  <c r="R106" i="4" s="1"/>
  <c r="C106" i="4"/>
  <c r="B106" i="4"/>
  <c r="Q106" i="4"/>
  <c r="O106" i="4"/>
  <c r="F106" i="4"/>
  <c r="P106" i="4"/>
  <c r="D106" i="4"/>
  <c r="H106" i="4"/>
  <c r="N106" i="4"/>
  <c r="M106" i="4"/>
  <c r="K106" i="4"/>
  <c r="F104" i="4"/>
  <c r="E104" i="4"/>
  <c r="R104" i="4" s="1"/>
  <c r="D104" i="4"/>
  <c r="C104" i="4"/>
  <c r="B104" i="4"/>
  <c r="K104" i="4"/>
  <c r="I104" i="4"/>
  <c r="G104" i="4"/>
  <c r="H104" i="4"/>
  <c r="Q104" i="4"/>
  <c r="P104" i="4"/>
  <c r="O104" i="4"/>
  <c r="N104" i="4"/>
  <c r="M104" i="4"/>
  <c r="J104" i="4"/>
  <c r="M102" i="4"/>
  <c r="Q102" i="4"/>
  <c r="H102" i="4"/>
  <c r="I102" i="4"/>
  <c r="B102" i="4"/>
  <c r="N102" i="4"/>
  <c r="O102" i="4"/>
  <c r="J102" i="4"/>
  <c r="P102" i="4"/>
  <c r="C102" i="4"/>
  <c r="K102" i="4"/>
  <c r="D102" i="4"/>
  <c r="E102" i="4"/>
  <c r="R102" i="4" s="1"/>
  <c r="F102" i="4"/>
  <c r="G102" i="4"/>
  <c r="M141" i="4"/>
  <c r="N141" i="4"/>
  <c r="O141" i="4"/>
  <c r="P141" i="4"/>
  <c r="Q141" i="4"/>
  <c r="G141" i="4"/>
  <c r="H141" i="4"/>
  <c r="F141" i="4"/>
  <c r="J141" i="4"/>
  <c r="I141" i="4"/>
  <c r="O138" i="4"/>
  <c r="N138" i="4"/>
  <c r="M138" i="4"/>
  <c r="J138" i="4"/>
  <c r="I138" i="4"/>
  <c r="D138" i="4"/>
  <c r="C138" i="4"/>
  <c r="B138" i="4"/>
  <c r="H138" i="4"/>
  <c r="G138" i="4"/>
  <c r="F138" i="4"/>
  <c r="Q138" i="4"/>
  <c r="P138" i="4"/>
  <c r="E138" i="4"/>
  <c r="R138" i="4" s="1"/>
  <c r="F136" i="4"/>
  <c r="P136" i="4"/>
  <c r="N136" i="4"/>
  <c r="Q136" i="4"/>
  <c r="O136" i="4"/>
  <c r="M136" i="4"/>
  <c r="J136" i="4"/>
  <c r="I136" i="4"/>
  <c r="H136" i="4"/>
  <c r="G136" i="4"/>
  <c r="E136" i="4"/>
  <c r="R136" i="4" s="1"/>
  <c r="D136" i="4"/>
  <c r="C136" i="4"/>
  <c r="B136" i="4"/>
  <c r="B131" i="4"/>
  <c r="M131" i="4"/>
  <c r="J131" i="4"/>
  <c r="I131" i="4"/>
  <c r="O131" i="4"/>
  <c r="P131" i="4"/>
  <c r="G131" i="4"/>
  <c r="N131" i="4"/>
  <c r="H131" i="4"/>
  <c r="Q131" i="4"/>
  <c r="D131" i="4"/>
  <c r="C131" i="4"/>
  <c r="F131" i="4"/>
  <c r="E131" i="4"/>
  <c r="R131" i="4" s="1"/>
  <c r="K126" i="4"/>
  <c r="H126" i="4"/>
  <c r="C126" i="4"/>
  <c r="D126" i="4"/>
  <c r="E126" i="4"/>
  <c r="R126" i="4" s="1"/>
  <c r="P126" i="4"/>
  <c r="M126" i="4"/>
  <c r="F126" i="4"/>
  <c r="Q126" i="4"/>
  <c r="G126" i="4"/>
  <c r="I126" i="4"/>
  <c r="O126" i="4"/>
  <c r="N126" i="4"/>
  <c r="J126" i="4"/>
  <c r="B126" i="4"/>
  <c r="J130" i="4"/>
  <c r="M130" i="4"/>
  <c r="O130" i="4"/>
  <c r="P130" i="4"/>
  <c r="Q130" i="4"/>
  <c r="B130" i="4"/>
  <c r="C130" i="4"/>
  <c r="D130" i="4"/>
  <c r="F130" i="4"/>
  <c r="G130" i="4"/>
  <c r="H130" i="4"/>
  <c r="I130" i="4"/>
  <c r="N130" i="4"/>
  <c r="E130" i="4"/>
  <c r="R130" i="4" s="1"/>
  <c r="K130" i="4"/>
  <c r="A23" i="4"/>
  <c r="A56" i="4"/>
  <c r="A63" i="4"/>
  <c r="A11" i="4"/>
  <c r="A58" i="4"/>
  <c r="A47" i="4"/>
  <c r="A39" i="4"/>
  <c r="A8" i="4"/>
  <c r="A18" i="4"/>
  <c r="A67" i="4"/>
  <c r="A73" i="4"/>
  <c r="A78" i="4"/>
  <c r="A53" i="4"/>
  <c r="A62" i="4"/>
  <c r="A72" i="4"/>
  <c r="A69" i="4"/>
  <c r="A95" i="4"/>
  <c r="A70" i="4"/>
  <c r="A94" i="4"/>
  <c r="A90" i="4"/>
  <c r="A82" i="4"/>
  <c r="A42" i="4"/>
  <c r="A85" i="4"/>
  <c r="A66" i="4"/>
  <c r="A57" i="4"/>
  <c r="A45" i="4"/>
  <c r="A38" i="4"/>
  <c r="A20" i="4"/>
  <c r="A16" i="4"/>
  <c r="A34" i="4"/>
  <c r="A64" i="4"/>
  <c r="A3" i="4"/>
  <c r="A9" i="4"/>
  <c r="A68" i="4"/>
  <c r="A79" i="4"/>
  <c r="A93" i="4"/>
  <c r="A88" i="4"/>
  <c r="A61" i="4"/>
  <c r="A65" i="4"/>
  <c r="A46" i="4"/>
  <c r="A36" i="4"/>
  <c r="A17" i="4"/>
  <c r="A80" i="4"/>
  <c r="A5" i="4"/>
  <c r="A84" i="4"/>
  <c r="A87" i="4"/>
  <c r="A97" i="4"/>
  <c r="A4" i="4"/>
  <c r="A92" i="4"/>
  <c r="A77" i="4"/>
  <c r="A86" i="4"/>
  <c r="A12" i="4"/>
  <c r="A44" i="4"/>
  <c r="A28" i="4"/>
  <c r="A91" i="4"/>
  <c r="A52" i="4"/>
  <c r="A22" i="4"/>
  <c r="A29" i="4"/>
  <c r="A25" i="4"/>
  <c r="A54" i="4"/>
  <c r="A89" i="4"/>
  <c r="A32" i="4"/>
  <c r="A74" i="4"/>
  <c r="A60" i="4"/>
  <c r="A48" i="4"/>
  <c r="A43" i="4"/>
  <c r="A37" i="4"/>
  <c r="A19" i="4"/>
  <c r="A10" i="4"/>
  <c r="A27" i="4"/>
  <c r="A51" i="4"/>
  <c r="A33" i="4"/>
  <c r="A49" i="4"/>
  <c r="A35" i="4"/>
  <c r="A26" i="4"/>
  <c r="A30" i="4"/>
  <c r="A21" i="4"/>
  <c r="A15" i="4"/>
  <c r="A99" i="4"/>
  <c r="A83" i="4"/>
  <c r="A13" i="4"/>
  <c r="A24" i="4"/>
  <c r="A75" i="4"/>
  <c r="A55" i="4"/>
  <c r="A40" i="4"/>
  <c r="A6" i="4"/>
  <c r="A98" i="4"/>
  <c r="A31" i="4"/>
  <c r="A100" i="4"/>
  <c r="A71" i="4"/>
  <c r="A81" i="4"/>
  <c r="A41" i="4"/>
  <c r="A14" i="4"/>
  <c r="A96" i="4"/>
  <c r="A76" i="4"/>
  <c r="A50" i="4"/>
  <c r="A59" i="4"/>
  <c r="A7" i="4"/>
  <c r="Q41" i="4" l="1"/>
  <c r="P23" i="4"/>
  <c r="Q23" i="4"/>
  <c r="O23" i="4"/>
  <c r="I23" i="4"/>
  <c r="M23" i="4"/>
  <c r="N23" i="4"/>
  <c r="C23" i="4"/>
  <c r="E23" i="4"/>
  <c r="F23" i="4"/>
  <c r="B23" i="4"/>
  <c r="G23" i="4"/>
  <c r="H23" i="4"/>
  <c r="D23" i="4"/>
  <c r="J23" i="4" s="1"/>
  <c r="C56" i="4"/>
  <c r="P56" i="4"/>
  <c r="I56" i="4"/>
  <c r="E56" i="4"/>
  <c r="B56" i="4"/>
  <c r="Q56" i="4"/>
  <c r="O56" i="4"/>
  <c r="M56" i="4"/>
  <c r="N56" i="4"/>
  <c r="H56" i="4"/>
  <c r="F56" i="4"/>
  <c r="G56" i="4"/>
  <c r="D56" i="4"/>
  <c r="J56" i="4" s="1"/>
  <c r="Q63" i="4"/>
  <c r="N63" i="4"/>
  <c r="F63" i="4"/>
  <c r="M63" i="4"/>
  <c r="H63" i="4"/>
  <c r="D63" i="4"/>
  <c r="J63" i="4" s="1"/>
  <c r="E63" i="4"/>
  <c r="P63" i="4"/>
  <c r="I63" i="4"/>
  <c r="G63" i="4"/>
  <c r="O63" i="4"/>
  <c r="B63" i="4"/>
  <c r="C63" i="4"/>
  <c r="G11" i="4"/>
  <c r="E11" i="4"/>
  <c r="N11" i="4"/>
  <c r="F11" i="4"/>
  <c r="O11" i="4"/>
  <c r="H11" i="4"/>
  <c r="M11" i="4"/>
  <c r="Q11" i="4"/>
  <c r="C11" i="4"/>
  <c r="B11" i="4"/>
  <c r="P11" i="4"/>
  <c r="I11" i="4"/>
  <c r="D11" i="4"/>
  <c r="J11" i="4" s="1"/>
  <c r="C58" i="4"/>
  <c r="H58" i="4"/>
  <c r="O58" i="4"/>
  <c r="I58" i="4"/>
  <c r="G58" i="4"/>
  <c r="B58" i="4"/>
  <c r="D58" i="4"/>
  <c r="J58" i="4" s="1"/>
  <c r="E58" i="4"/>
  <c r="F58" i="4"/>
  <c r="Q58" i="4"/>
  <c r="P58" i="4"/>
  <c r="N58" i="4"/>
  <c r="M58" i="4"/>
  <c r="M47" i="4"/>
  <c r="I47" i="4"/>
  <c r="H47" i="4"/>
  <c r="G47" i="4"/>
  <c r="F47" i="4"/>
  <c r="D47" i="4"/>
  <c r="J47" i="4" s="1"/>
  <c r="C47" i="4"/>
  <c r="E47" i="4"/>
  <c r="Q47" i="4"/>
  <c r="P47" i="4"/>
  <c r="O47" i="4"/>
  <c r="N47" i="4"/>
  <c r="B47" i="4"/>
  <c r="O39" i="4"/>
  <c r="E39" i="4"/>
  <c r="G39" i="4"/>
  <c r="N39" i="4"/>
  <c r="Q39" i="4"/>
  <c r="P39" i="4"/>
  <c r="I39" i="4"/>
  <c r="F39" i="4"/>
  <c r="C39" i="4"/>
  <c r="B39" i="4"/>
  <c r="D39" i="4"/>
  <c r="J39" i="4" s="1"/>
  <c r="H39" i="4"/>
  <c r="M39" i="4"/>
  <c r="F8" i="4"/>
  <c r="Q8" i="4"/>
  <c r="O8" i="4"/>
  <c r="M8" i="4"/>
  <c r="H8" i="4"/>
  <c r="G8" i="4"/>
  <c r="P8" i="4"/>
  <c r="D8" i="4"/>
  <c r="J8" i="4" s="1"/>
  <c r="C8" i="4"/>
  <c r="E8" i="4"/>
  <c r="I8" i="4"/>
  <c r="N8" i="4"/>
  <c r="B8" i="4"/>
  <c r="D18" i="4"/>
  <c r="J18" i="4" s="1"/>
  <c r="B18" i="4"/>
  <c r="H18" i="4"/>
  <c r="N18" i="4"/>
  <c r="P18" i="4"/>
  <c r="G18" i="4"/>
  <c r="O18" i="4"/>
  <c r="Q18" i="4"/>
  <c r="C18" i="4"/>
  <c r="E18" i="4"/>
  <c r="F18" i="4"/>
  <c r="M18" i="4"/>
  <c r="I18" i="4"/>
  <c r="N67" i="4"/>
  <c r="M67" i="4"/>
  <c r="P67" i="4"/>
  <c r="Q67" i="4"/>
  <c r="O67" i="4"/>
  <c r="I67" i="4"/>
  <c r="H67" i="4"/>
  <c r="G67" i="4"/>
  <c r="E67" i="4"/>
  <c r="R67" i="4" s="1"/>
  <c r="D67" i="4"/>
  <c r="J67" i="4" s="1"/>
  <c r="C67" i="4"/>
  <c r="B67" i="4"/>
  <c r="F67" i="4"/>
  <c r="C73" i="4"/>
  <c r="B73" i="4"/>
  <c r="E73" i="4"/>
  <c r="G73" i="4"/>
  <c r="N73" i="4"/>
  <c r="I73" i="4"/>
  <c r="O73" i="4"/>
  <c r="D73" i="4"/>
  <c r="P73" i="4"/>
  <c r="H73" i="4"/>
  <c r="M73" i="4"/>
  <c r="Q73" i="4"/>
  <c r="F73" i="4"/>
  <c r="F78" i="4"/>
  <c r="G78" i="4"/>
  <c r="E78" i="4"/>
  <c r="B78" i="4"/>
  <c r="C78" i="4"/>
  <c r="D78" i="4"/>
  <c r="J78" i="4" s="1"/>
  <c r="I78" i="4"/>
  <c r="M78" i="4"/>
  <c r="N78" i="4"/>
  <c r="O78" i="4"/>
  <c r="P78" i="4"/>
  <c r="H78" i="4"/>
  <c r="Q78" i="4"/>
  <c r="H53" i="4"/>
  <c r="M53" i="4"/>
  <c r="N53" i="4"/>
  <c r="O53" i="4"/>
  <c r="P53" i="4"/>
  <c r="Q53" i="4"/>
  <c r="G53" i="4"/>
  <c r="B53" i="4"/>
  <c r="C53" i="4"/>
  <c r="D53" i="4"/>
  <c r="J53" i="4" s="1"/>
  <c r="I53" i="4"/>
  <c r="E53" i="4"/>
  <c r="F53" i="4"/>
  <c r="N62" i="4"/>
  <c r="C62" i="4"/>
  <c r="P62" i="4"/>
  <c r="E62" i="4"/>
  <c r="B62" i="4"/>
  <c r="O62" i="4"/>
  <c r="I62" i="4"/>
  <c r="F62" i="4"/>
  <c r="D62" i="4"/>
  <c r="J62" i="4" s="1"/>
  <c r="Q62" i="4"/>
  <c r="M62" i="4"/>
  <c r="G62" i="4"/>
  <c r="H62" i="4"/>
  <c r="H72" i="4"/>
  <c r="M72" i="4"/>
  <c r="P72" i="4"/>
  <c r="D72" i="4"/>
  <c r="J72" i="4" s="1"/>
  <c r="B72" i="4"/>
  <c r="I72" i="4"/>
  <c r="O72" i="4"/>
  <c r="C72" i="4"/>
  <c r="E72" i="4"/>
  <c r="N72" i="4"/>
  <c r="F72" i="4"/>
  <c r="G72" i="4"/>
  <c r="Q72" i="4"/>
  <c r="Q69" i="4"/>
  <c r="C69" i="4"/>
  <c r="O69" i="4"/>
  <c r="N69" i="4"/>
  <c r="M69" i="4"/>
  <c r="E69" i="4"/>
  <c r="F69" i="4"/>
  <c r="I69" i="4"/>
  <c r="H69" i="4"/>
  <c r="B69" i="4"/>
  <c r="P69" i="4"/>
  <c r="D69" i="4"/>
  <c r="J69" i="4" s="1"/>
  <c r="G69" i="4"/>
  <c r="H95" i="4"/>
  <c r="O95" i="4"/>
  <c r="P95" i="4"/>
  <c r="I95" i="4"/>
  <c r="B95" i="4"/>
  <c r="Q95" i="4"/>
  <c r="C95" i="4"/>
  <c r="D95" i="4"/>
  <c r="J95" i="4" s="1"/>
  <c r="E95" i="4"/>
  <c r="F95" i="4"/>
  <c r="M95" i="4"/>
  <c r="N95" i="4"/>
  <c r="G95" i="4"/>
  <c r="Q70" i="4"/>
  <c r="P70" i="4"/>
  <c r="M70" i="4"/>
  <c r="B70" i="4"/>
  <c r="O70" i="4"/>
  <c r="C70" i="4"/>
  <c r="D70" i="4"/>
  <c r="J70" i="4" s="1"/>
  <c r="F70" i="4"/>
  <c r="G70" i="4"/>
  <c r="H70" i="4"/>
  <c r="E70" i="4"/>
  <c r="I70" i="4"/>
  <c r="N70" i="4"/>
  <c r="C94" i="4"/>
  <c r="D94" i="4"/>
  <c r="J94" i="4" s="1"/>
  <c r="E94" i="4"/>
  <c r="I94" i="4"/>
  <c r="O94" i="4"/>
  <c r="N94" i="4"/>
  <c r="M94" i="4"/>
  <c r="F94" i="4"/>
  <c r="G94" i="4"/>
  <c r="H94" i="4"/>
  <c r="Q94" i="4"/>
  <c r="P94" i="4"/>
  <c r="B94" i="4"/>
  <c r="E90" i="4"/>
  <c r="Q90" i="4"/>
  <c r="P90" i="4"/>
  <c r="O90" i="4"/>
  <c r="F90" i="4"/>
  <c r="M90" i="4"/>
  <c r="B90" i="4"/>
  <c r="G90" i="4"/>
  <c r="C90" i="4"/>
  <c r="D90" i="4"/>
  <c r="J90" i="4" s="1"/>
  <c r="H90" i="4"/>
  <c r="I90" i="4"/>
  <c r="N90" i="4"/>
  <c r="D82" i="4"/>
  <c r="J82" i="4" s="1"/>
  <c r="F82" i="4"/>
  <c r="E82" i="4"/>
  <c r="G82" i="4"/>
  <c r="I82" i="4"/>
  <c r="M82" i="4"/>
  <c r="H82" i="4"/>
  <c r="O82" i="4"/>
  <c r="N82" i="4"/>
  <c r="Q82" i="4"/>
  <c r="C82" i="4"/>
  <c r="B82" i="4"/>
  <c r="P82" i="4"/>
  <c r="E42" i="4"/>
  <c r="B42" i="4"/>
  <c r="P42" i="4"/>
  <c r="H42" i="4"/>
  <c r="D42" i="4"/>
  <c r="J42" i="4" s="1"/>
  <c r="I42" i="4"/>
  <c r="O42" i="4"/>
  <c r="F42" i="4"/>
  <c r="Q42" i="4"/>
  <c r="N42" i="4"/>
  <c r="M42" i="4"/>
  <c r="C42" i="4"/>
  <c r="G42" i="4"/>
  <c r="H85" i="4"/>
  <c r="G85" i="4"/>
  <c r="F85" i="4"/>
  <c r="E85" i="4"/>
  <c r="C85" i="4"/>
  <c r="O85" i="4"/>
  <c r="P85" i="4"/>
  <c r="Q85" i="4"/>
  <c r="M85" i="4"/>
  <c r="I85" i="4"/>
  <c r="N85" i="4"/>
  <c r="B85" i="4"/>
  <c r="D85" i="4"/>
  <c r="J85" i="4" s="1"/>
  <c r="G66" i="4"/>
  <c r="H66" i="4"/>
  <c r="I66" i="4"/>
  <c r="M66" i="4"/>
  <c r="N66" i="4"/>
  <c r="O66" i="4"/>
  <c r="P66" i="4"/>
  <c r="Q66" i="4"/>
  <c r="D66" i="4"/>
  <c r="J66" i="4" s="1"/>
  <c r="C66" i="4"/>
  <c r="B66" i="4"/>
  <c r="F66" i="4"/>
  <c r="E66" i="4"/>
  <c r="P57" i="4"/>
  <c r="Q57" i="4"/>
  <c r="O57" i="4"/>
  <c r="N57" i="4"/>
  <c r="M57" i="4"/>
  <c r="I57" i="4"/>
  <c r="E57" i="4"/>
  <c r="B57" i="4"/>
  <c r="H57" i="4"/>
  <c r="G57" i="4"/>
  <c r="F57" i="4"/>
  <c r="D57" i="4"/>
  <c r="J57" i="4" s="1"/>
  <c r="C57" i="4"/>
  <c r="Q45" i="4"/>
  <c r="H45" i="4"/>
  <c r="O45" i="4"/>
  <c r="I45" i="4"/>
  <c r="P45" i="4"/>
  <c r="C45" i="4"/>
  <c r="E45" i="4"/>
  <c r="G45" i="4"/>
  <c r="F45" i="4"/>
  <c r="D45" i="4"/>
  <c r="J45" i="4" s="1"/>
  <c r="B45" i="4"/>
  <c r="M45" i="4"/>
  <c r="N45" i="4"/>
  <c r="C38" i="4"/>
  <c r="E38" i="4"/>
  <c r="M38" i="4"/>
  <c r="H38" i="4"/>
  <c r="I38" i="4"/>
  <c r="P38" i="4"/>
  <c r="N38" i="4"/>
  <c r="G38" i="4"/>
  <c r="F38" i="4"/>
  <c r="D38" i="4"/>
  <c r="J38" i="4" s="1"/>
  <c r="B38" i="4"/>
  <c r="O38" i="4"/>
  <c r="Q38" i="4"/>
  <c r="G20" i="4"/>
  <c r="E20" i="4"/>
  <c r="M20" i="4"/>
  <c r="D20" i="4"/>
  <c r="J20" i="4" s="1"/>
  <c r="P20" i="4"/>
  <c r="I20" i="4"/>
  <c r="O20" i="4"/>
  <c r="H20" i="4"/>
  <c r="B20" i="4"/>
  <c r="F20" i="4"/>
  <c r="C20" i="4"/>
  <c r="Q20" i="4"/>
  <c r="N20" i="4"/>
  <c r="O16" i="4"/>
  <c r="M16" i="4"/>
  <c r="G16" i="4"/>
  <c r="B16" i="4"/>
  <c r="Q16" i="4"/>
  <c r="N16" i="4"/>
  <c r="I16" i="4"/>
  <c r="F16" i="4"/>
  <c r="D16" i="4"/>
  <c r="J16" i="4" s="1"/>
  <c r="P16" i="4"/>
  <c r="H16" i="4"/>
  <c r="E16" i="4"/>
  <c r="C16" i="4"/>
  <c r="D34" i="4"/>
  <c r="J34" i="4" s="1"/>
  <c r="C34" i="4"/>
  <c r="B34" i="4"/>
  <c r="P34" i="4"/>
  <c r="H34" i="4"/>
  <c r="F34" i="4"/>
  <c r="G34" i="4"/>
  <c r="E34" i="4"/>
  <c r="Q34" i="4"/>
  <c r="I34" i="4"/>
  <c r="M34" i="4"/>
  <c r="N34" i="4"/>
  <c r="O34" i="4"/>
  <c r="H64" i="4"/>
  <c r="E64" i="4"/>
  <c r="C64" i="4"/>
  <c r="Q64" i="4"/>
  <c r="P64" i="4"/>
  <c r="O64" i="4"/>
  <c r="N64" i="4"/>
  <c r="M64" i="4"/>
  <c r="I64" i="4"/>
  <c r="G64" i="4"/>
  <c r="B64" i="4"/>
  <c r="D64" i="4"/>
  <c r="J64" i="4" s="1"/>
  <c r="F64" i="4"/>
  <c r="Q3" i="4"/>
  <c r="N3" i="4"/>
  <c r="O3" i="4"/>
  <c r="B3" i="4"/>
  <c r="F3" i="4"/>
  <c r="H3" i="4"/>
  <c r="I3" i="4"/>
  <c r="C3" i="4"/>
  <c r="G3" i="4"/>
  <c r="D3" i="4"/>
  <c r="J3" i="4" s="1"/>
  <c r="P3" i="4"/>
  <c r="E3" i="4"/>
  <c r="M3" i="4"/>
  <c r="H9" i="4"/>
  <c r="C9" i="4"/>
  <c r="D9" i="4"/>
  <c r="J9" i="4" s="1"/>
  <c r="G9" i="4"/>
  <c r="E9" i="4"/>
  <c r="O9" i="4"/>
  <c r="N9" i="4"/>
  <c r="F9" i="4"/>
  <c r="P9" i="4"/>
  <c r="B9" i="4"/>
  <c r="M9" i="4"/>
  <c r="Q9" i="4"/>
  <c r="I9" i="4"/>
  <c r="D68" i="4"/>
  <c r="J68" i="4" s="1"/>
  <c r="I68" i="4"/>
  <c r="C68" i="4"/>
  <c r="H68" i="4"/>
  <c r="F68" i="4"/>
  <c r="Q68" i="4"/>
  <c r="O68" i="4"/>
  <c r="M68" i="4"/>
  <c r="P68" i="4"/>
  <c r="G68" i="4"/>
  <c r="N68" i="4"/>
  <c r="B68" i="4"/>
  <c r="E68" i="4"/>
  <c r="R68" i="4" s="1"/>
  <c r="F79" i="4"/>
  <c r="G79" i="4"/>
  <c r="H79" i="4"/>
  <c r="I79" i="4"/>
  <c r="M79" i="4"/>
  <c r="O79" i="4"/>
  <c r="P79" i="4"/>
  <c r="Q79" i="4"/>
  <c r="D79" i="4"/>
  <c r="J79" i="4" s="1"/>
  <c r="C79" i="4"/>
  <c r="B79" i="4"/>
  <c r="N79" i="4"/>
  <c r="E79" i="4"/>
  <c r="R79" i="4" s="1"/>
  <c r="H93" i="4"/>
  <c r="C93" i="4"/>
  <c r="Q93" i="4"/>
  <c r="G93" i="4"/>
  <c r="F93" i="4"/>
  <c r="E93" i="4"/>
  <c r="I93" i="4"/>
  <c r="D93" i="4"/>
  <c r="J93" i="4" s="1"/>
  <c r="P93" i="4"/>
  <c r="O93" i="4"/>
  <c r="B93" i="4"/>
  <c r="N93" i="4"/>
  <c r="M93" i="4"/>
  <c r="G88" i="4"/>
  <c r="Q88" i="4"/>
  <c r="H88" i="4"/>
  <c r="M88" i="4"/>
  <c r="O88" i="4"/>
  <c r="D88" i="4"/>
  <c r="J88" i="4" s="1"/>
  <c r="F88" i="4"/>
  <c r="B88" i="4"/>
  <c r="C88" i="4"/>
  <c r="E88" i="4"/>
  <c r="P88" i="4"/>
  <c r="N88" i="4"/>
  <c r="I88" i="4"/>
  <c r="M61" i="4"/>
  <c r="E61" i="4"/>
  <c r="F61" i="4"/>
  <c r="I61" i="4"/>
  <c r="Q61" i="4"/>
  <c r="G61" i="4"/>
  <c r="H61" i="4"/>
  <c r="N61" i="4"/>
  <c r="P61" i="4"/>
  <c r="C61" i="4"/>
  <c r="D61" i="4"/>
  <c r="J61" i="4" s="1"/>
  <c r="B61" i="4"/>
  <c r="O61" i="4"/>
  <c r="G65" i="4"/>
  <c r="F65" i="4"/>
  <c r="E65" i="4"/>
  <c r="D65" i="4"/>
  <c r="J65" i="4" s="1"/>
  <c r="C65" i="4"/>
  <c r="B65" i="4"/>
  <c r="M65" i="4"/>
  <c r="N65" i="4"/>
  <c r="I65" i="4"/>
  <c r="O65" i="4"/>
  <c r="P65" i="4"/>
  <c r="H65" i="4"/>
  <c r="Q65" i="4"/>
  <c r="P46" i="4"/>
  <c r="B46" i="4"/>
  <c r="C46" i="4"/>
  <c r="D46" i="4"/>
  <c r="J46" i="4" s="1"/>
  <c r="E46" i="4"/>
  <c r="F46" i="4"/>
  <c r="G46" i="4"/>
  <c r="H46" i="4"/>
  <c r="I46" i="4"/>
  <c r="M46" i="4"/>
  <c r="N46" i="4"/>
  <c r="O46" i="4"/>
  <c r="Q46" i="4"/>
  <c r="P36" i="4"/>
  <c r="O36" i="4"/>
  <c r="I36" i="4"/>
  <c r="F36" i="4"/>
  <c r="C36" i="4"/>
  <c r="H36" i="4"/>
  <c r="M36" i="4"/>
  <c r="G36" i="4"/>
  <c r="E36" i="4"/>
  <c r="D36" i="4"/>
  <c r="J36" i="4" s="1"/>
  <c r="B36" i="4"/>
  <c r="Q36" i="4"/>
  <c r="N36" i="4"/>
  <c r="H17" i="4"/>
  <c r="G17" i="4"/>
  <c r="F17" i="4"/>
  <c r="E17" i="4"/>
  <c r="D17" i="4"/>
  <c r="J17" i="4" s="1"/>
  <c r="C17" i="4"/>
  <c r="B17" i="4"/>
  <c r="I17" i="4"/>
  <c r="Q17" i="4"/>
  <c r="P17" i="4"/>
  <c r="O17" i="4"/>
  <c r="N17" i="4"/>
  <c r="M17" i="4"/>
  <c r="N80" i="4"/>
  <c r="O80" i="4"/>
  <c r="P80" i="4"/>
  <c r="H80" i="4"/>
  <c r="M80" i="4"/>
  <c r="B80" i="4"/>
  <c r="C80" i="4"/>
  <c r="D80" i="4"/>
  <c r="J80" i="4" s="1"/>
  <c r="E80" i="4"/>
  <c r="I80" i="4"/>
  <c r="Q80" i="4"/>
  <c r="F80" i="4"/>
  <c r="G80" i="4"/>
  <c r="E5" i="4"/>
  <c r="G5" i="4"/>
  <c r="F5" i="4"/>
  <c r="M5" i="4"/>
  <c r="N5" i="4"/>
  <c r="O5" i="4"/>
  <c r="P5" i="4"/>
  <c r="I5" i="4"/>
  <c r="B5" i="4"/>
  <c r="H5" i="4"/>
  <c r="C5" i="4"/>
  <c r="Q5" i="4"/>
  <c r="D5" i="4"/>
  <c r="J5" i="4" s="1"/>
  <c r="G84" i="4"/>
  <c r="H84" i="4"/>
  <c r="I84" i="4"/>
  <c r="M84" i="4"/>
  <c r="N84" i="4"/>
  <c r="O84" i="4"/>
  <c r="P84" i="4"/>
  <c r="Q84" i="4"/>
  <c r="D84" i="4"/>
  <c r="J84" i="4" s="1"/>
  <c r="E84" i="4"/>
  <c r="F84" i="4"/>
  <c r="B84" i="4"/>
  <c r="C84" i="4"/>
  <c r="P87" i="4"/>
  <c r="H87" i="4"/>
  <c r="C87" i="4"/>
  <c r="E87" i="4"/>
  <c r="O87" i="4"/>
  <c r="F87" i="4"/>
  <c r="N87" i="4"/>
  <c r="Q87" i="4"/>
  <c r="D87" i="4"/>
  <c r="J87" i="4" s="1"/>
  <c r="G87" i="4"/>
  <c r="B87" i="4"/>
  <c r="I87" i="4"/>
  <c r="M87" i="4"/>
  <c r="P97" i="4"/>
  <c r="F97" i="4"/>
  <c r="C97" i="4"/>
  <c r="E97" i="4"/>
  <c r="H97" i="4"/>
  <c r="M97" i="4"/>
  <c r="G97" i="4"/>
  <c r="I97" i="4"/>
  <c r="N97" i="4"/>
  <c r="O97" i="4"/>
  <c r="Q97" i="4"/>
  <c r="B97" i="4"/>
  <c r="D97" i="4"/>
  <c r="J97" i="4" s="1"/>
  <c r="G4" i="4"/>
  <c r="O4" i="4"/>
  <c r="E4" i="4"/>
  <c r="H4" i="4"/>
  <c r="N4" i="4"/>
  <c r="D4" i="4"/>
  <c r="J4" i="4" s="1"/>
  <c r="Q4" i="4"/>
  <c r="F4" i="4"/>
  <c r="P4" i="4"/>
  <c r="B4" i="4"/>
  <c r="C4" i="4"/>
  <c r="M4" i="4"/>
  <c r="I4" i="4"/>
  <c r="B92" i="4"/>
  <c r="I92" i="4"/>
  <c r="C92" i="4"/>
  <c r="D92" i="4"/>
  <c r="J92" i="4" s="1"/>
  <c r="Q92" i="4"/>
  <c r="E92" i="4"/>
  <c r="F92" i="4"/>
  <c r="P92" i="4"/>
  <c r="O92" i="4"/>
  <c r="N92" i="4"/>
  <c r="M92" i="4"/>
  <c r="H92" i="4"/>
  <c r="G92" i="4"/>
  <c r="P77" i="4"/>
  <c r="C77" i="4"/>
  <c r="G77" i="4"/>
  <c r="E77" i="4"/>
  <c r="H77" i="4"/>
  <c r="M77" i="4"/>
  <c r="O77" i="4"/>
  <c r="Q77" i="4"/>
  <c r="F77" i="4"/>
  <c r="N77" i="4"/>
  <c r="I77" i="4"/>
  <c r="B77" i="4"/>
  <c r="D77" i="4"/>
  <c r="J77" i="4" s="1"/>
  <c r="B86" i="4"/>
  <c r="E86" i="4"/>
  <c r="P86" i="4"/>
  <c r="N86" i="4"/>
  <c r="Q86" i="4"/>
  <c r="M86" i="4"/>
  <c r="F86" i="4"/>
  <c r="G86" i="4"/>
  <c r="H86" i="4"/>
  <c r="I86" i="4"/>
  <c r="D86" i="4"/>
  <c r="J86" i="4" s="1"/>
  <c r="C86" i="4"/>
  <c r="O86" i="4"/>
  <c r="Q12" i="4"/>
  <c r="G12" i="4"/>
  <c r="O12" i="4"/>
  <c r="D12" i="4"/>
  <c r="J12" i="4" s="1"/>
  <c r="N12" i="4"/>
  <c r="B12" i="4"/>
  <c r="I12" i="4"/>
  <c r="F12" i="4"/>
  <c r="E12" i="4"/>
  <c r="H12" i="4"/>
  <c r="M12" i="4"/>
  <c r="P12" i="4"/>
  <c r="C12" i="4"/>
  <c r="E44" i="4"/>
  <c r="G44" i="4"/>
  <c r="D44" i="4"/>
  <c r="F44" i="4"/>
  <c r="H44" i="4"/>
  <c r="M44" i="4"/>
  <c r="P44" i="4"/>
  <c r="I44" i="4"/>
  <c r="B44" i="4"/>
  <c r="O44" i="4"/>
  <c r="Q44" i="4"/>
  <c r="N44" i="4"/>
  <c r="C44" i="4"/>
  <c r="F28" i="4"/>
  <c r="C28" i="4"/>
  <c r="D28" i="4"/>
  <c r="J28" i="4" s="1"/>
  <c r="I28" i="4"/>
  <c r="N28" i="4"/>
  <c r="Q28" i="4"/>
  <c r="O28" i="4"/>
  <c r="P28" i="4"/>
  <c r="E28" i="4"/>
  <c r="G28" i="4"/>
  <c r="M28" i="4"/>
  <c r="B28" i="4"/>
  <c r="H28" i="4"/>
  <c r="D91" i="4"/>
  <c r="J91" i="4" s="1"/>
  <c r="C91" i="4"/>
  <c r="M91" i="4"/>
  <c r="B91" i="4"/>
  <c r="O91" i="4"/>
  <c r="P91" i="4"/>
  <c r="I91" i="4"/>
  <c r="H91" i="4"/>
  <c r="G91" i="4"/>
  <c r="Q91" i="4"/>
  <c r="F91" i="4"/>
  <c r="E91" i="4"/>
  <c r="R91" i="4" s="1"/>
  <c r="N91" i="4"/>
  <c r="N52" i="4"/>
  <c r="B52" i="4"/>
  <c r="F52" i="4"/>
  <c r="Q52" i="4"/>
  <c r="I52" i="4"/>
  <c r="H52" i="4"/>
  <c r="G52" i="4"/>
  <c r="O52" i="4"/>
  <c r="E52" i="4"/>
  <c r="D52" i="4"/>
  <c r="J52" i="4" s="1"/>
  <c r="C52" i="4"/>
  <c r="P52" i="4"/>
  <c r="M52" i="4"/>
  <c r="G22" i="4"/>
  <c r="P22" i="4"/>
  <c r="M22" i="4"/>
  <c r="H22" i="4"/>
  <c r="D22" i="4"/>
  <c r="J22" i="4" s="1"/>
  <c r="O22" i="4"/>
  <c r="F22" i="4"/>
  <c r="C22" i="4"/>
  <c r="Q22" i="4"/>
  <c r="E22" i="4"/>
  <c r="I22" i="4"/>
  <c r="N22" i="4"/>
  <c r="B22" i="4"/>
  <c r="F29" i="4"/>
  <c r="B29" i="4"/>
  <c r="C29" i="4"/>
  <c r="E29" i="4"/>
  <c r="P29" i="4"/>
  <c r="I29" i="4"/>
  <c r="O29" i="4"/>
  <c r="N29" i="4"/>
  <c r="Q29" i="4"/>
  <c r="D29" i="4"/>
  <c r="J29" i="4" s="1"/>
  <c r="G29" i="4"/>
  <c r="M29" i="4"/>
  <c r="H29" i="4"/>
  <c r="N25" i="4"/>
  <c r="C25" i="4"/>
  <c r="D25" i="4"/>
  <c r="J25" i="4" s="1"/>
  <c r="B25" i="4"/>
  <c r="E25" i="4"/>
  <c r="H25" i="4"/>
  <c r="M25" i="4"/>
  <c r="F25" i="4"/>
  <c r="I25" i="4"/>
  <c r="O25" i="4"/>
  <c r="P25" i="4"/>
  <c r="Q25" i="4"/>
  <c r="G25" i="4"/>
  <c r="O54" i="4"/>
  <c r="M54" i="4"/>
  <c r="I54" i="4"/>
  <c r="H54" i="4"/>
  <c r="G54" i="4"/>
  <c r="F54" i="4"/>
  <c r="E54" i="4"/>
  <c r="D54" i="4"/>
  <c r="J54" i="4" s="1"/>
  <c r="C54" i="4"/>
  <c r="B54" i="4"/>
  <c r="N54" i="4"/>
  <c r="Q54" i="4"/>
  <c r="P54" i="4"/>
  <c r="Q89" i="4"/>
  <c r="O89" i="4"/>
  <c r="G89" i="4"/>
  <c r="H89" i="4"/>
  <c r="B89" i="4"/>
  <c r="D89" i="4"/>
  <c r="J89" i="4" s="1"/>
  <c r="F89" i="4"/>
  <c r="P89" i="4"/>
  <c r="N89" i="4"/>
  <c r="E89" i="4"/>
  <c r="M89" i="4"/>
  <c r="C89" i="4"/>
  <c r="I89" i="4"/>
  <c r="O32" i="4"/>
  <c r="C32" i="4"/>
  <c r="E32" i="4"/>
  <c r="G32" i="4"/>
  <c r="D32" i="4"/>
  <c r="B32" i="4"/>
  <c r="I32" i="4"/>
  <c r="Q32" i="4"/>
  <c r="N32" i="4"/>
  <c r="H32" i="4"/>
  <c r="P32" i="4"/>
  <c r="F32" i="4"/>
  <c r="M32" i="4"/>
  <c r="D74" i="4"/>
  <c r="J74" i="4" s="1"/>
  <c r="O74" i="4"/>
  <c r="C74" i="4"/>
  <c r="F74" i="4"/>
  <c r="B74" i="4"/>
  <c r="I74" i="4"/>
  <c r="G74" i="4"/>
  <c r="E74" i="4"/>
  <c r="N74" i="4"/>
  <c r="H74" i="4"/>
  <c r="M74" i="4"/>
  <c r="Q74" i="4"/>
  <c r="P74" i="4"/>
  <c r="N60" i="4"/>
  <c r="Q60" i="4"/>
  <c r="E60" i="4"/>
  <c r="B60" i="4"/>
  <c r="D60" i="4"/>
  <c r="J60" i="4" s="1"/>
  <c r="G60" i="4"/>
  <c r="I60" i="4"/>
  <c r="M60" i="4"/>
  <c r="O60" i="4"/>
  <c r="P60" i="4"/>
  <c r="C60" i="4"/>
  <c r="F60" i="4"/>
  <c r="H60" i="4"/>
  <c r="D48" i="4"/>
  <c r="J48" i="4" s="1"/>
  <c r="O48" i="4"/>
  <c r="M48" i="4"/>
  <c r="Q48" i="4"/>
  <c r="P48" i="4"/>
  <c r="N48" i="4"/>
  <c r="I48" i="4"/>
  <c r="H48" i="4"/>
  <c r="G48" i="4"/>
  <c r="F48" i="4"/>
  <c r="E48" i="4"/>
  <c r="B48" i="4"/>
  <c r="C48" i="4"/>
  <c r="C43" i="4"/>
  <c r="P43" i="4"/>
  <c r="O43" i="4"/>
  <c r="M43" i="4"/>
  <c r="B43" i="4"/>
  <c r="I43" i="4"/>
  <c r="N43" i="4"/>
  <c r="G43" i="4"/>
  <c r="D43" i="4"/>
  <c r="J43" i="4" s="1"/>
  <c r="E43" i="4"/>
  <c r="Q43" i="4"/>
  <c r="F43" i="4"/>
  <c r="H43" i="4"/>
  <c r="M37" i="4"/>
  <c r="D37" i="4"/>
  <c r="J37" i="4" s="1"/>
  <c r="O37" i="4"/>
  <c r="H37" i="4"/>
  <c r="F37" i="4"/>
  <c r="C37" i="4"/>
  <c r="B37" i="4"/>
  <c r="P37" i="4"/>
  <c r="Q37" i="4"/>
  <c r="G37" i="4"/>
  <c r="E37" i="4"/>
  <c r="I37" i="4"/>
  <c r="N37" i="4"/>
  <c r="O19" i="4"/>
  <c r="G19" i="4"/>
  <c r="D19" i="4"/>
  <c r="J19" i="4" s="1"/>
  <c r="N19" i="4"/>
  <c r="F19" i="4"/>
  <c r="P19" i="4"/>
  <c r="B19" i="4"/>
  <c r="C19" i="4"/>
  <c r="E19" i="4"/>
  <c r="H19" i="4"/>
  <c r="M19" i="4"/>
  <c r="Q19" i="4"/>
  <c r="I19" i="4"/>
  <c r="I10" i="4"/>
  <c r="Q10" i="4"/>
  <c r="F10" i="4"/>
  <c r="N10" i="4"/>
  <c r="O10" i="4"/>
  <c r="G10" i="4"/>
  <c r="H10" i="4"/>
  <c r="P10" i="4"/>
  <c r="E10" i="4"/>
  <c r="R10" i="4" s="1"/>
  <c r="B10" i="4"/>
  <c r="C10" i="4"/>
  <c r="D10" i="4"/>
  <c r="J10" i="4" s="1"/>
  <c r="M10" i="4"/>
  <c r="H27" i="4"/>
  <c r="C27" i="4"/>
  <c r="P27" i="4"/>
  <c r="I27" i="4"/>
  <c r="M27" i="4"/>
  <c r="F27" i="4"/>
  <c r="B27" i="4"/>
  <c r="G27" i="4"/>
  <c r="O27" i="4"/>
  <c r="E27" i="4"/>
  <c r="D27" i="4"/>
  <c r="J27" i="4" s="1"/>
  <c r="Q27" i="4"/>
  <c r="N27" i="4"/>
  <c r="G51" i="4"/>
  <c r="F51" i="4"/>
  <c r="E51" i="4"/>
  <c r="H51" i="4"/>
  <c r="I51" i="4"/>
  <c r="M51" i="4"/>
  <c r="N51" i="4"/>
  <c r="Q51" i="4"/>
  <c r="P51" i="4"/>
  <c r="D51" i="4"/>
  <c r="C51" i="4"/>
  <c r="B51" i="4"/>
  <c r="O51" i="4"/>
  <c r="F33" i="4"/>
  <c r="E33" i="4"/>
  <c r="D33" i="4"/>
  <c r="J33" i="4" s="1"/>
  <c r="C33" i="4"/>
  <c r="K33" i="4" s="1"/>
  <c r="N33" i="4"/>
  <c r="M33" i="4"/>
  <c r="I33" i="4"/>
  <c r="B33" i="4"/>
  <c r="Q33" i="4"/>
  <c r="P33" i="4"/>
  <c r="O33" i="4"/>
  <c r="H33" i="4"/>
  <c r="G33" i="4"/>
  <c r="N49" i="4"/>
  <c r="B49" i="4"/>
  <c r="C49" i="4"/>
  <c r="D49" i="4"/>
  <c r="J49" i="4" s="1"/>
  <c r="E49" i="4"/>
  <c r="F49" i="4"/>
  <c r="G49" i="4"/>
  <c r="O49" i="4"/>
  <c r="P49" i="4"/>
  <c r="H49" i="4"/>
  <c r="I49" i="4"/>
  <c r="Q49" i="4"/>
  <c r="M49" i="4"/>
  <c r="B35" i="4"/>
  <c r="D35" i="4"/>
  <c r="J35" i="4" s="1"/>
  <c r="F35" i="4"/>
  <c r="G35" i="4"/>
  <c r="I35" i="4"/>
  <c r="M35" i="4"/>
  <c r="O35" i="4"/>
  <c r="Q35" i="4"/>
  <c r="C35" i="4"/>
  <c r="E35" i="4"/>
  <c r="H35" i="4"/>
  <c r="N35" i="4"/>
  <c r="P35" i="4"/>
  <c r="Q26" i="4"/>
  <c r="B26" i="4"/>
  <c r="O26" i="4"/>
  <c r="C26" i="4"/>
  <c r="M26" i="4"/>
  <c r="G26" i="4"/>
  <c r="F26" i="4"/>
  <c r="N26" i="4"/>
  <c r="H26" i="4"/>
  <c r="P26" i="4"/>
  <c r="D26" i="4"/>
  <c r="E26" i="4"/>
  <c r="I26" i="4"/>
  <c r="M100" i="4"/>
  <c r="H100" i="4"/>
  <c r="G100" i="4"/>
  <c r="C100" i="4"/>
  <c r="D100" i="4"/>
  <c r="J100" i="4" s="1"/>
  <c r="E100" i="4"/>
  <c r="I100" i="4"/>
  <c r="Q100" i="4"/>
  <c r="P100" i="4"/>
  <c r="O100" i="4"/>
  <c r="N100" i="4"/>
  <c r="F100" i="4"/>
  <c r="B100" i="4"/>
  <c r="N71" i="4"/>
  <c r="H71" i="4"/>
  <c r="M71" i="4"/>
  <c r="I71" i="4"/>
  <c r="B71" i="4"/>
  <c r="O71" i="4"/>
  <c r="E71" i="4"/>
  <c r="G71" i="4"/>
  <c r="Q71" i="4"/>
  <c r="P71" i="4"/>
  <c r="F71" i="4"/>
  <c r="D71" i="4"/>
  <c r="J71" i="4" s="1"/>
  <c r="C71" i="4"/>
  <c r="M81" i="4"/>
  <c r="N81" i="4"/>
  <c r="E81" i="4"/>
  <c r="F81" i="4"/>
  <c r="G81" i="4"/>
  <c r="H81" i="4"/>
  <c r="I81" i="4"/>
  <c r="O81" i="4"/>
  <c r="P81" i="4"/>
  <c r="Q81" i="4"/>
  <c r="I30" i="4"/>
  <c r="M30" i="4"/>
  <c r="N30" i="4"/>
  <c r="O30" i="4"/>
  <c r="P30" i="4"/>
  <c r="B30" i="4"/>
  <c r="C30" i="4"/>
  <c r="D30" i="4"/>
  <c r="J30" i="4" s="1"/>
  <c r="E30" i="4"/>
  <c r="F30" i="4"/>
  <c r="G30" i="4"/>
  <c r="Q30" i="4"/>
  <c r="H30" i="4"/>
  <c r="C21" i="4"/>
  <c r="H21" i="4"/>
  <c r="I21" i="4"/>
  <c r="B21" i="4"/>
  <c r="G21" i="4"/>
  <c r="P21" i="4"/>
  <c r="F21" i="4"/>
  <c r="N21" i="4"/>
  <c r="Q21" i="4"/>
  <c r="D21" i="4"/>
  <c r="J21" i="4" s="1"/>
  <c r="M21" i="4"/>
  <c r="E21" i="4"/>
  <c r="O21" i="4"/>
  <c r="I15" i="4"/>
  <c r="F15" i="4"/>
  <c r="E15" i="4"/>
  <c r="C15" i="4"/>
  <c r="D15" i="4"/>
  <c r="J15" i="4" s="1"/>
  <c r="B15" i="4"/>
  <c r="O15" i="4"/>
  <c r="Q15" i="4"/>
  <c r="P15" i="4"/>
  <c r="N15" i="4"/>
  <c r="M15" i="4"/>
  <c r="H15" i="4"/>
  <c r="G15" i="4"/>
  <c r="E99" i="4"/>
  <c r="D99" i="4"/>
  <c r="J99" i="4" s="1"/>
  <c r="C99" i="4"/>
  <c r="B99" i="4"/>
  <c r="H99" i="4"/>
  <c r="I99" i="4"/>
  <c r="G99" i="4"/>
  <c r="M99" i="4"/>
  <c r="N99" i="4"/>
  <c r="O99" i="4"/>
  <c r="P99" i="4"/>
  <c r="Q99" i="4"/>
  <c r="F99" i="4"/>
  <c r="B83" i="4"/>
  <c r="C83" i="4"/>
  <c r="D83" i="4"/>
  <c r="J83" i="4" s="1"/>
  <c r="Q83" i="4"/>
  <c r="P83" i="4"/>
  <c r="N83" i="4"/>
  <c r="M83" i="4"/>
  <c r="I83" i="4"/>
  <c r="H83" i="4"/>
  <c r="G83" i="4"/>
  <c r="F83" i="4"/>
  <c r="E83" i="4"/>
  <c r="O83" i="4"/>
  <c r="M13" i="4"/>
  <c r="Q13" i="4"/>
  <c r="N13" i="4"/>
  <c r="D13" i="4"/>
  <c r="J13" i="4" s="1"/>
  <c r="O13" i="4"/>
  <c r="I13" i="4"/>
  <c r="G13" i="4"/>
  <c r="B13" i="4"/>
  <c r="P13" i="4"/>
  <c r="H13" i="4"/>
  <c r="E13" i="4"/>
  <c r="F13" i="4"/>
  <c r="C13" i="4"/>
  <c r="G24" i="4"/>
  <c r="D24" i="4"/>
  <c r="J24" i="4" s="1"/>
  <c r="E24" i="4"/>
  <c r="P24" i="4"/>
  <c r="N24" i="4"/>
  <c r="M24" i="4"/>
  <c r="F24" i="4"/>
  <c r="H24" i="4"/>
  <c r="C24" i="4"/>
  <c r="Q24" i="4"/>
  <c r="I24" i="4"/>
  <c r="B24" i="4"/>
  <c r="O24" i="4"/>
  <c r="E75" i="4"/>
  <c r="F75" i="4"/>
  <c r="G75" i="4"/>
  <c r="H75" i="4"/>
  <c r="M75" i="4"/>
  <c r="N75" i="4"/>
  <c r="D75" i="4"/>
  <c r="J75" i="4" s="1"/>
  <c r="O75" i="4"/>
  <c r="P75" i="4"/>
  <c r="Q75" i="4"/>
  <c r="B75" i="4"/>
  <c r="C75" i="4"/>
  <c r="I75" i="4"/>
  <c r="G55" i="4"/>
  <c r="B55" i="4"/>
  <c r="C55" i="4"/>
  <c r="D55" i="4"/>
  <c r="J55" i="4" s="1"/>
  <c r="E55" i="4"/>
  <c r="F55" i="4"/>
  <c r="H55" i="4"/>
  <c r="I55" i="4"/>
  <c r="M55" i="4"/>
  <c r="Q55" i="4"/>
  <c r="N55" i="4"/>
  <c r="O55" i="4"/>
  <c r="P55" i="4"/>
  <c r="I40" i="4"/>
  <c r="M40" i="4"/>
  <c r="N40" i="4"/>
  <c r="P40" i="4"/>
  <c r="Q40" i="4"/>
  <c r="B40" i="4"/>
  <c r="C40" i="4"/>
  <c r="D40" i="4"/>
  <c r="J40" i="4" s="1"/>
  <c r="E40" i="4"/>
  <c r="F40" i="4"/>
  <c r="G40" i="4"/>
  <c r="H40" i="4"/>
  <c r="O40" i="4"/>
  <c r="C6" i="4"/>
  <c r="B6" i="4"/>
  <c r="Q6" i="4"/>
  <c r="P6" i="4"/>
  <c r="O6" i="4"/>
  <c r="N6" i="4"/>
  <c r="M6" i="4"/>
  <c r="I6" i="4"/>
  <c r="H6" i="4"/>
  <c r="G6" i="4"/>
  <c r="F6" i="4"/>
  <c r="E6" i="4"/>
  <c r="D6" i="4"/>
  <c r="J6" i="4" s="1"/>
  <c r="E98" i="4"/>
  <c r="D98" i="4"/>
  <c r="J98" i="4" s="1"/>
  <c r="C98" i="4"/>
  <c r="Q98" i="4"/>
  <c r="P98" i="4"/>
  <c r="O98" i="4"/>
  <c r="N98" i="4"/>
  <c r="M98" i="4"/>
  <c r="I98" i="4"/>
  <c r="H98" i="4"/>
  <c r="G98" i="4"/>
  <c r="F98" i="4"/>
  <c r="B98" i="4"/>
  <c r="E31" i="4"/>
  <c r="D31" i="4"/>
  <c r="J31" i="4" s="1"/>
  <c r="H31" i="4"/>
  <c r="C31" i="4"/>
  <c r="B31" i="4"/>
  <c r="Q31" i="4"/>
  <c r="P31" i="4"/>
  <c r="O31" i="4"/>
  <c r="U31" i="4" s="1"/>
  <c r="N31" i="4"/>
  <c r="M31" i="4"/>
  <c r="I31" i="4"/>
  <c r="G31" i="4"/>
  <c r="F31" i="4"/>
  <c r="D81" i="4"/>
  <c r="J81" i="4" s="1"/>
  <c r="B81" i="4"/>
  <c r="C81" i="4"/>
  <c r="C41" i="4"/>
  <c r="B41" i="4"/>
  <c r="P41" i="4"/>
  <c r="O41" i="4"/>
  <c r="N41" i="4"/>
  <c r="M41" i="4"/>
  <c r="I41" i="4"/>
  <c r="H41" i="4"/>
  <c r="G41" i="4"/>
  <c r="F41" i="4"/>
  <c r="E41" i="4"/>
  <c r="D41" i="4"/>
  <c r="D14" i="4"/>
  <c r="J14" i="4" s="1"/>
  <c r="E14" i="4"/>
  <c r="C14" i="4"/>
  <c r="O14" i="4"/>
  <c r="B14" i="4"/>
  <c r="P14" i="4"/>
  <c r="M14" i="4"/>
  <c r="H14" i="4"/>
  <c r="N14" i="4"/>
  <c r="F14" i="4"/>
  <c r="Q14" i="4"/>
  <c r="I14" i="4"/>
  <c r="G14" i="4"/>
  <c r="G96" i="4"/>
  <c r="N96" i="4"/>
  <c r="P96" i="4"/>
  <c r="M96" i="4"/>
  <c r="I96" i="4"/>
  <c r="H96" i="4"/>
  <c r="E96" i="4"/>
  <c r="B96" i="4"/>
  <c r="Q96" i="4"/>
  <c r="O96" i="4"/>
  <c r="D96" i="4"/>
  <c r="J96" i="4" s="1"/>
  <c r="F96" i="4"/>
  <c r="C96" i="4"/>
  <c r="C76" i="4"/>
  <c r="B76" i="4"/>
  <c r="Q76" i="4"/>
  <c r="P76" i="4"/>
  <c r="O76" i="4"/>
  <c r="N76" i="4"/>
  <c r="M76" i="4"/>
  <c r="I76" i="4"/>
  <c r="H76" i="4"/>
  <c r="G76" i="4"/>
  <c r="F76" i="4"/>
  <c r="E76" i="4"/>
  <c r="R76" i="4" s="1"/>
  <c r="D76" i="4"/>
  <c r="Q50" i="4"/>
  <c r="P50" i="4"/>
  <c r="O50" i="4"/>
  <c r="N50" i="4"/>
  <c r="M50" i="4"/>
  <c r="I50" i="4"/>
  <c r="H50" i="4"/>
  <c r="G50" i="4"/>
  <c r="F50" i="4"/>
  <c r="E50" i="4"/>
  <c r="D50" i="4"/>
  <c r="J50" i="4" s="1"/>
  <c r="C50" i="4"/>
  <c r="B50" i="4"/>
  <c r="B59" i="4"/>
  <c r="E59" i="4"/>
  <c r="H59" i="4"/>
  <c r="M59" i="4"/>
  <c r="O59" i="4"/>
  <c r="Q59" i="4"/>
  <c r="C59" i="4"/>
  <c r="F59" i="4"/>
  <c r="I59" i="4"/>
  <c r="D59" i="4"/>
  <c r="G59" i="4"/>
  <c r="N59" i="4"/>
  <c r="P59" i="4"/>
  <c r="B7" i="4"/>
  <c r="C7" i="4"/>
  <c r="D7" i="4"/>
  <c r="J7" i="4" s="1"/>
  <c r="E7" i="4"/>
  <c r="F7" i="4"/>
  <c r="G7" i="4"/>
  <c r="H7" i="4"/>
  <c r="I7" i="4"/>
  <c r="M7" i="4"/>
  <c r="N7" i="4"/>
  <c r="O7" i="4"/>
  <c r="P7" i="4"/>
  <c r="Q7" i="4"/>
  <c r="U17" i="4" l="1"/>
  <c r="R6" i="4"/>
  <c r="R12" i="4"/>
  <c r="U61" i="4"/>
  <c r="W61" i="4" s="1"/>
  <c r="R53" i="4"/>
  <c r="U86" i="4"/>
  <c r="W86" i="4" s="1"/>
  <c r="U51" i="4"/>
  <c r="W51" i="4" s="1"/>
  <c r="R23" i="4"/>
  <c r="R3" i="4"/>
  <c r="R21" i="4"/>
  <c r="K99" i="4"/>
  <c r="U63" i="4"/>
  <c r="W63" i="4" s="1"/>
  <c r="U56" i="4"/>
  <c r="W56" i="4" s="1"/>
  <c r="R66" i="4"/>
  <c r="U88" i="4"/>
  <c r="W88" i="4" s="1"/>
  <c r="U95" i="4"/>
  <c r="W95" i="4" s="1"/>
  <c r="U47" i="4"/>
  <c r="W47" i="4" s="1"/>
  <c r="R40" i="4"/>
  <c r="U92" i="4"/>
  <c r="W92" i="4" s="1"/>
  <c r="U100" i="4"/>
  <c r="W100" i="4" s="1"/>
  <c r="R92" i="4"/>
  <c r="R28" i="4"/>
  <c r="K71" i="4"/>
  <c r="U83" i="4"/>
  <c r="W83" i="4" s="1"/>
  <c r="R13" i="4"/>
  <c r="U60" i="4"/>
  <c r="W60" i="4" s="1"/>
  <c r="R48" i="4"/>
  <c r="U43" i="4"/>
  <c r="W43" i="4" s="1"/>
  <c r="U33" i="4"/>
  <c r="W33" i="4" s="1"/>
  <c r="R45" i="4"/>
  <c r="U40" i="4"/>
  <c r="W40" i="4" s="1"/>
  <c r="U55" i="4"/>
  <c r="W55" i="4" s="1"/>
  <c r="R57" i="4"/>
  <c r="U44" i="4"/>
  <c r="W44" i="4" s="1"/>
  <c r="U90" i="4"/>
  <c r="W90" i="4" s="1"/>
  <c r="U34" i="4"/>
  <c r="W34" i="4" s="1"/>
  <c r="U64" i="4"/>
  <c r="W64" i="4" s="1"/>
  <c r="U93" i="4"/>
  <c r="W93" i="4" s="1"/>
  <c r="R9" i="4"/>
  <c r="U9" i="4"/>
  <c r="W9" i="4" s="1"/>
  <c r="U99" i="4"/>
  <c r="W99" i="4" s="1"/>
  <c r="U81" i="4"/>
  <c r="W81" i="4" s="1"/>
  <c r="U21" i="4"/>
  <c r="W21" i="4" s="1"/>
  <c r="U85" i="4"/>
  <c r="W85" i="4" s="1"/>
  <c r="U32" i="4"/>
  <c r="W32" i="4" s="1"/>
  <c r="U75" i="4"/>
  <c r="W75" i="4" s="1"/>
  <c r="U23" i="4"/>
  <c r="W23" i="4" s="1"/>
  <c r="U11" i="4"/>
  <c r="U58" i="4"/>
  <c r="U39" i="4"/>
  <c r="W39" i="4" s="1"/>
  <c r="U8" i="4"/>
  <c r="W8" i="4" s="1"/>
  <c r="U18" i="4"/>
  <c r="W18" i="4" s="1"/>
  <c r="U67" i="4"/>
  <c r="W67" i="4" s="1"/>
  <c r="U73" i="4"/>
  <c r="W73" i="4" s="1"/>
  <c r="U78" i="4"/>
  <c r="U66" i="4"/>
  <c r="U53" i="4"/>
  <c r="U62" i="4"/>
  <c r="U72" i="4"/>
  <c r="U69" i="4"/>
  <c r="U70" i="4"/>
  <c r="U94" i="4"/>
  <c r="U57" i="4"/>
  <c r="U82" i="4"/>
  <c r="U42" i="4"/>
  <c r="U45" i="4"/>
  <c r="W45" i="4" s="1"/>
  <c r="U38" i="4"/>
  <c r="U20" i="4"/>
  <c r="U16" i="4"/>
  <c r="U3" i="4"/>
  <c r="U68" i="4"/>
  <c r="U79" i="4"/>
  <c r="U46" i="4"/>
  <c r="U36" i="4"/>
  <c r="U65" i="4"/>
  <c r="U80" i="4"/>
  <c r="U5" i="4"/>
  <c r="U84" i="4"/>
  <c r="U87" i="4"/>
  <c r="U97" i="4"/>
  <c r="U4" i="4"/>
  <c r="U77" i="4"/>
  <c r="U12" i="4"/>
  <c r="U28" i="4"/>
  <c r="W28" i="4" s="1"/>
  <c r="U91" i="4"/>
  <c r="W91" i="4" s="1"/>
  <c r="U52" i="4"/>
  <c r="U22" i="4"/>
  <c r="U29" i="4"/>
  <c r="U25" i="4"/>
  <c r="U54" i="4"/>
  <c r="U89" i="4"/>
  <c r="R50" i="4"/>
  <c r="U74" i="4"/>
  <c r="U48" i="4"/>
  <c r="U96" i="4"/>
  <c r="U37" i="4"/>
  <c r="U19" i="4"/>
  <c r="U10" i="4"/>
  <c r="U50" i="4"/>
  <c r="U27" i="4"/>
  <c r="U49" i="4"/>
  <c r="U24" i="4"/>
  <c r="W24" i="4" s="1"/>
  <c r="U35" i="4"/>
  <c r="W35" i="4" s="1"/>
  <c r="U26" i="4"/>
  <c r="W26" i="4" s="1"/>
  <c r="U71" i="4"/>
  <c r="W71" i="4" s="1"/>
  <c r="U6" i="4"/>
  <c r="W6" i="4" s="1"/>
  <c r="U7" i="4"/>
  <c r="U30" i="4"/>
  <c r="U15" i="4"/>
  <c r="U13" i="4"/>
  <c r="U59" i="4"/>
  <c r="U98" i="4"/>
  <c r="U41" i="4"/>
  <c r="U14" i="4"/>
  <c r="U76" i="4"/>
  <c r="R52" i="4"/>
  <c r="W17" i="4"/>
  <c r="W31" i="4"/>
  <c r="R36" i="4"/>
  <c r="R84" i="4"/>
  <c r="K100" i="4"/>
  <c r="R41" i="4"/>
  <c r="R31" i="4"/>
  <c r="R88" i="4"/>
  <c r="R83" i="4"/>
  <c r="R56" i="4"/>
  <c r="R63" i="4"/>
  <c r="R11" i="4"/>
  <c r="R58" i="4"/>
  <c r="R47" i="4"/>
  <c r="R39" i="4"/>
  <c r="R8" i="4"/>
  <c r="R18" i="4"/>
  <c r="R73" i="4"/>
  <c r="R78" i="4"/>
  <c r="R62" i="4"/>
  <c r="R72" i="4"/>
  <c r="R69" i="4"/>
  <c r="R95" i="4"/>
  <c r="R70" i="4"/>
  <c r="R94" i="4"/>
  <c r="R90" i="4"/>
  <c r="R82" i="4"/>
  <c r="R19" i="4"/>
  <c r="R7" i="4"/>
  <c r="R42" i="4"/>
  <c r="R85" i="4"/>
  <c r="R38" i="4"/>
  <c r="R20" i="4"/>
  <c r="R16" i="4"/>
  <c r="R34" i="4"/>
  <c r="R64" i="4"/>
  <c r="R93" i="4"/>
  <c r="R61" i="4"/>
  <c r="R65" i="4"/>
  <c r="R46" i="4"/>
  <c r="R17" i="4"/>
  <c r="R80" i="4"/>
  <c r="R5" i="4"/>
  <c r="R87" i="4"/>
  <c r="K97" i="4"/>
  <c r="R97" i="4"/>
  <c r="R4" i="4"/>
  <c r="R81" i="4"/>
  <c r="R77" i="4"/>
  <c r="R86" i="4"/>
  <c r="R44" i="4"/>
  <c r="R37" i="4"/>
  <c r="R22" i="4"/>
  <c r="R29" i="4"/>
  <c r="R25" i="4"/>
  <c r="R54" i="4"/>
  <c r="R89" i="4"/>
  <c r="R32" i="4"/>
  <c r="R74" i="4"/>
  <c r="R60" i="4"/>
  <c r="R43" i="4"/>
  <c r="R27" i="4"/>
  <c r="R51" i="4"/>
  <c r="R33" i="4"/>
  <c r="R49" i="4"/>
  <c r="R35" i="4"/>
  <c r="R26" i="4"/>
  <c r="R100" i="4"/>
  <c r="R71" i="4"/>
  <c r="R30" i="4"/>
  <c r="R15" i="4"/>
  <c r="R99" i="4"/>
  <c r="R59" i="4"/>
  <c r="R24" i="4"/>
  <c r="R75" i="4"/>
  <c r="R55" i="4"/>
  <c r="R98" i="4"/>
  <c r="R14" i="4"/>
  <c r="R96" i="4"/>
  <c r="J73" i="4"/>
  <c r="K60" i="4"/>
  <c r="J51" i="4"/>
  <c r="K79" i="4"/>
  <c r="J44" i="4"/>
  <c r="J32" i="4"/>
  <c r="J26" i="4"/>
  <c r="J41" i="4"/>
  <c r="J76" i="4"/>
  <c r="J59" i="4"/>
  <c r="K59" i="4"/>
  <c r="K23" i="4"/>
  <c r="K34" i="4"/>
  <c r="K81" i="4"/>
  <c r="K87" i="4"/>
  <c r="K40" i="4"/>
  <c r="K18" i="4"/>
  <c r="K49" i="4"/>
  <c r="K75" i="4"/>
  <c r="K88" i="4"/>
  <c r="K38" i="4"/>
  <c r="K21" i="4"/>
  <c r="K13" i="4"/>
  <c r="K53" i="4"/>
  <c r="K89" i="4"/>
  <c r="K39" i="4"/>
  <c r="K36" i="4"/>
  <c r="K63" i="4"/>
  <c r="K51" i="4"/>
  <c r="K98" i="4"/>
  <c r="K74" i="4"/>
  <c r="K62" i="4"/>
  <c r="K42" i="4"/>
  <c r="K12" i="4"/>
  <c r="K25" i="4"/>
  <c r="K46" i="4"/>
  <c r="K14" i="4"/>
  <c r="K11" i="4"/>
  <c r="K16" i="4"/>
  <c r="K44" i="4"/>
  <c r="K24" i="4"/>
  <c r="K27" i="4"/>
  <c r="K47" i="4"/>
  <c r="K78" i="4"/>
  <c r="K84" i="4"/>
  <c r="K5" i="4"/>
  <c r="K48" i="4"/>
  <c r="K19" i="4"/>
  <c r="K15" i="4"/>
  <c r="K22" i="4"/>
  <c r="K68" i="4"/>
  <c r="K82" i="4"/>
  <c r="K92" i="4"/>
  <c r="K30" i="4"/>
  <c r="K45" i="4"/>
  <c r="K37" i="4"/>
  <c r="K3" i="4"/>
  <c r="K69" i="4"/>
  <c r="K80" i="4"/>
  <c r="K94" i="4"/>
  <c r="K32" i="4"/>
  <c r="K55" i="4"/>
  <c r="K9" i="4"/>
  <c r="K17" i="4"/>
  <c r="K20" i="4"/>
  <c r="K7" i="4"/>
  <c r="K35" i="4"/>
  <c r="K83" i="4"/>
  <c r="K77" i="4"/>
  <c r="K70" i="4"/>
  <c r="K86" i="4"/>
  <c r="K91" i="4"/>
  <c r="K52" i="4"/>
  <c r="K6" i="4"/>
  <c r="K26" i="4"/>
  <c r="K50" i="4"/>
  <c r="K43" i="4"/>
  <c r="K41" i="4"/>
  <c r="K61" i="4"/>
  <c r="K64" i="4"/>
  <c r="K85" i="4"/>
  <c r="K73" i="4"/>
  <c r="K58" i="4"/>
  <c r="K65" i="4"/>
  <c r="K76" i="4"/>
  <c r="K72" i="4"/>
  <c r="K67" i="4"/>
  <c r="K66" i="4"/>
  <c r="K54" i="4"/>
  <c r="K10" i="4"/>
  <c r="K90" i="4"/>
  <c r="K57" i="4"/>
  <c r="K56" i="4"/>
  <c r="K29" i="4"/>
  <c r="K96" i="4"/>
  <c r="K93" i="4"/>
  <c r="K8" i="4"/>
  <c r="K31" i="4"/>
  <c r="K28" i="4"/>
  <c r="K95" i="4"/>
  <c r="K4" i="4"/>
  <c r="V11" i="4" l="1"/>
  <c r="W11" i="4"/>
  <c r="V58" i="4"/>
  <c r="W58" i="4"/>
  <c r="V78" i="4"/>
  <c r="W78" i="4"/>
  <c r="W66" i="4"/>
  <c r="V66" i="4"/>
  <c r="W53" i="4"/>
  <c r="V53" i="4"/>
  <c r="W62" i="4"/>
  <c r="V62" i="4"/>
  <c r="W72" i="4"/>
  <c r="V72" i="4"/>
  <c r="W69" i="4"/>
  <c r="V69" i="4"/>
  <c r="W70" i="4"/>
  <c r="V70" i="4"/>
  <c r="V94" i="4"/>
  <c r="W94" i="4"/>
  <c r="V57" i="4"/>
  <c r="W57" i="4"/>
  <c r="V82" i="4"/>
  <c r="W82" i="4"/>
  <c r="W42" i="4"/>
  <c r="V42" i="4"/>
  <c r="W38" i="4"/>
  <c r="V38" i="4"/>
  <c r="V20" i="4"/>
  <c r="W20" i="4"/>
  <c r="V16" i="4"/>
  <c r="W16" i="4"/>
  <c r="V63" i="4"/>
  <c r="V60" i="4"/>
  <c r="V43" i="4"/>
  <c r="V17" i="4"/>
  <c r="V35" i="4"/>
  <c r="V26" i="4"/>
  <c r="V51" i="4"/>
  <c r="V95" i="4"/>
  <c r="V90" i="4"/>
  <c r="V88" i="4"/>
  <c r="V21" i="4"/>
  <c r="V100" i="4"/>
  <c r="V75" i="4"/>
  <c r="V85" i="4"/>
  <c r="V55" i="4"/>
  <c r="V45" i="4"/>
  <c r="V34" i="4"/>
  <c r="V40" i="4"/>
  <c r="V33" i="4"/>
  <c r="V92" i="4"/>
  <c r="V86" i="4"/>
  <c r="V93" i="4"/>
  <c r="V61" i="4"/>
  <c r="V91" i="4"/>
  <c r="V44" i="4"/>
  <c r="V28" i="4"/>
  <c r="V99" i="4"/>
  <c r="V64" i="4"/>
  <c r="V3" i="4"/>
  <c r="W3" i="4"/>
  <c r="V9" i="4"/>
  <c r="V71" i="4"/>
  <c r="V81" i="4"/>
  <c r="V32" i="4"/>
  <c r="V68" i="4"/>
  <c r="W68" i="4"/>
  <c r="V79" i="4"/>
  <c r="W79" i="4"/>
  <c r="W46" i="4"/>
  <c r="V46" i="4"/>
  <c r="V36" i="4"/>
  <c r="W36" i="4"/>
  <c r="V65" i="4"/>
  <c r="W65" i="4"/>
  <c r="V80" i="4"/>
  <c r="W80" i="4"/>
  <c r="W5" i="4"/>
  <c r="V5" i="4"/>
  <c r="W84" i="4"/>
  <c r="V84" i="4"/>
  <c r="V87" i="4"/>
  <c r="W87" i="4"/>
  <c r="V97" i="4"/>
  <c r="W97" i="4"/>
  <c r="V39" i="4"/>
  <c r="V8" i="4"/>
  <c r="V18" i="4"/>
  <c r="V67" i="4"/>
  <c r="V73" i="4"/>
  <c r="V47" i="4"/>
  <c r="V83" i="4"/>
  <c r="V24" i="4"/>
  <c r="W4" i="4"/>
  <c r="V31" i="4"/>
  <c r="V6" i="4"/>
  <c r="V4" i="4"/>
  <c r="W77" i="4"/>
  <c r="V77" i="4"/>
  <c r="V12" i="4"/>
  <c r="W12" i="4"/>
  <c r="V52" i="4"/>
  <c r="W52" i="4"/>
  <c r="W22" i="4"/>
  <c r="V22" i="4"/>
  <c r="V29" i="4"/>
  <c r="W29" i="4"/>
  <c r="V25" i="4"/>
  <c r="W25" i="4"/>
  <c r="W54" i="4"/>
  <c r="V54" i="4"/>
  <c r="V89" i="4"/>
  <c r="W89" i="4"/>
  <c r="W74" i="4"/>
  <c r="V74" i="4"/>
  <c r="V48" i="4"/>
  <c r="W48" i="4"/>
  <c r="V96" i="4"/>
  <c r="W96" i="4"/>
  <c r="V37" i="4"/>
  <c r="W37" i="4"/>
  <c r="W19" i="4"/>
  <c r="V19" i="4"/>
  <c r="W10" i="4"/>
  <c r="V10" i="4"/>
  <c r="V23" i="4"/>
  <c r="V50" i="4"/>
  <c r="W50" i="4"/>
  <c r="W27" i="4"/>
  <c r="V27" i="4"/>
  <c r="V56" i="4"/>
  <c r="W49" i="4"/>
  <c r="V49" i="4"/>
  <c r="W7" i="4"/>
  <c r="V7" i="4"/>
  <c r="W30" i="4"/>
  <c r="V30" i="4"/>
  <c r="V15" i="4"/>
  <c r="W15" i="4"/>
  <c r="V13" i="4"/>
  <c r="W13" i="4"/>
  <c r="W59" i="4"/>
  <c r="V59" i="4"/>
  <c r="W98" i="4"/>
  <c r="V98" i="4"/>
  <c r="V41" i="4"/>
  <c r="W41" i="4"/>
  <c r="V14" i="4"/>
  <c r="W14" i="4"/>
  <c r="W76" i="4"/>
  <c r="V76" i="4"/>
  <c r="X82" i="4" l="1"/>
  <c r="X42" i="4"/>
  <c r="X50" i="4"/>
  <c r="X11" i="4"/>
  <c r="X58" i="4"/>
  <c r="X66" i="4"/>
  <c r="X53" i="4"/>
  <c r="X62" i="4"/>
  <c r="X72" i="4"/>
  <c r="X69" i="4"/>
  <c r="X70" i="4"/>
  <c r="X94" i="4"/>
  <c r="X57" i="4"/>
  <c r="X20" i="4"/>
  <c r="X16" i="4"/>
  <c r="X84" i="4"/>
  <c r="X80" i="4"/>
  <c r="X98" i="4"/>
  <c r="X87" i="4"/>
  <c r="X68" i="4"/>
  <c r="X79" i="4"/>
  <c r="X46" i="4"/>
  <c r="X52" i="4"/>
  <c r="X36" i="4"/>
  <c r="X65" i="4"/>
  <c r="X5" i="4"/>
  <c r="X97" i="4"/>
  <c r="X89" i="4"/>
  <c r="X77" i="4"/>
  <c r="X22" i="4"/>
  <c r="X29" i="4"/>
  <c r="X54" i="4"/>
  <c r="X74" i="4"/>
  <c r="X48" i="4"/>
  <c r="X96" i="4"/>
  <c r="X37" i="4"/>
  <c r="X19" i="4"/>
  <c r="X38" i="4"/>
  <c r="X27" i="4"/>
  <c r="X7" i="4"/>
  <c r="X30" i="4"/>
  <c r="X15" i="4"/>
  <c r="X13" i="4"/>
  <c r="X59" i="4"/>
  <c r="X41" i="4"/>
  <c r="X14" i="4"/>
  <c r="X76" i="4"/>
  <c r="X12" i="4"/>
  <c r="S100" i="4"/>
  <c r="L100" i="4"/>
  <c r="L75" i="4"/>
  <c r="S75" i="4"/>
  <c r="X56" i="4"/>
  <c r="X35" i="4"/>
  <c r="X83" i="4"/>
  <c r="X26" i="4"/>
  <c r="X17" i="4"/>
  <c r="X63" i="4"/>
  <c r="X91" i="4"/>
  <c r="X75" i="4"/>
  <c r="X86" i="4"/>
  <c r="X28" i="4"/>
  <c r="X44" i="4"/>
  <c r="X23" i="4"/>
  <c r="X55" i="4"/>
  <c r="X6" i="4"/>
  <c r="X51" i="4"/>
  <c r="X99" i="4"/>
  <c r="X100" i="4"/>
  <c r="X92" i="4"/>
  <c r="X43" i="4"/>
  <c r="X81" i="4"/>
  <c r="X45" i="4"/>
  <c r="X85" i="4"/>
  <c r="X24" i="4"/>
  <c r="X61" i="4"/>
  <c r="X33" i="4"/>
  <c r="X32" i="4"/>
  <c r="X64" i="4"/>
  <c r="X39" i="4"/>
  <c r="X67" i="4"/>
  <c r="X90" i="4"/>
  <c r="X95" i="4"/>
  <c r="X4" i="4"/>
  <c r="X3" i="4"/>
  <c r="X47" i="4"/>
  <c r="X18" i="4"/>
  <c r="X71" i="4"/>
  <c r="X31" i="4"/>
  <c r="X88" i="4"/>
  <c r="X25" i="4"/>
  <c r="X40" i="4"/>
  <c r="X8" i="4"/>
  <c r="X60" i="4"/>
  <c r="X10" i="4"/>
  <c r="X34" i="4"/>
  <c r="X9" i="4"/>
  <c r="X49" i="4"/>
  <c r="X21" i="4"/>
  <c r="X73" i="4"/>
  <c r="X93" i="4"/>
  <c r="X78" i="4"/>
  <c r="S82" i="4" l="1"/>
  <c r="L82" i="4"/>
  <c r="S42" i="4"/>
  <c r="L42" i="4"/>
  <c r="S66" i="4"/>
  <c r="L66" i="4"/>
  <c r="S62" i="4"/>
  <c r="L62" i="4"/>
  <c r="L50" i="4"/>
  <c r="S50" i="4"/>
  <c r="L53" i="4"/>
  <c r="S53" i="4"/>
  <c r="S69" i="4"/>
  <c r="L69" i="4"/>
  <c r="L16" i="4"/>
  <c r="S16" i="4"/>
  <c r="L39" i="4"/>
  <c r="S39" i="4"/>
  <c r="S18" i="4"/>
  <c r="L18" i="4"/>
  <c r="L11" i="4"/>
  <c r="S11" i="4"/>
  <c r="L58" i="4"/>
  <c r="S58" i="4"/>
  <c r="L72" i="4"/>
  <c r="S72" i="4"/>
  <c r="L70" i="4"/>
  <c r="S70" i="4"/>
  <c r="S94" i="4"/>
  <c r="L94" i="4"/>
  <c r="L57" i="4"/>
  <c r="S57" i="4"/>
  <c r="S20" i="4"/>
  <c r="L20" i="4"/>
  <c r="S84" i="4"/>
  <c r="L84" i="4"/>
  <c r="S80" i="4"/>
  <c r="L80" i="4"/>
  <c r="L98" i="4"/>
  <c r="S98" i="4"/>
  <c r="L87" i="4"/>
  <c r="S87" i="4"/>
  <c r="S68" i="4"/>
  <c r="L68" i="4"/>
  <c r="L79" i="4"/>
  <c r="S79" i="4"/>
  <c r="L46" i="4"/>
  <c r="S46" i="4"/>
  <c r="S52" i="4"/>
  <c r="L52" i="4"/>
  <c r="S36" i="4"/>
  <c r="L36" i="4"/>
  <c r="L65" i="4"/>
  <c r="S65" i="4"/>
  <c r="L5" i="4"/>
  <c r="S5" i="4"/>
  <c r="S97" i="4"/>
  <c r="L97" i="4"/>
  <c r="S89" i="4"/>
  <c r="L89" i="4"/>
  <c r="L77" i="4"/>
  <c r="S77" i="4"/>
  <c r="S22" i="4"/>
  <c r="L22" i="4"/>
  <c r="S29" i="4"/>
  <c r="L29" i="4"/>
  <c r="L54" i="4"/>
  <c r="S54" i="4"/>
  <c r="S74" i="4"/>
  <c r="L74" i="4"/>
  <c r="S48" i="4"/>
  <c r="L48" i="4"/>
  <c r="L96" i="4"/>
  <c r="S96" i="4"/>
  <c r="L37" i="4"/>
  <c r="S37" i="4"/>
  <c r="L19" i="4"/>
  <c r="S19" i="4"/>
  <c r="L38" i="4"/>
  <c r="S38" i="4"/>
  <c r="S27" i="4"/>
  <c r="L27" i="4"/>
  <c r="L7" i="4"/>
  <c r="S7" i="4"/>
  <c r="L30" i="4"/>
  <c r="S30" i="4"/>
  <c r="S15" i="4"/>
  <c r="L15" i="4"/>
  <c r="L13" i="4"/>
  <c r="S13" i="4"/>
  <c r="L59" i="4"/>
  <c r="S59" i="4"/>
  <c r="L41" i="4"/>
  <c r="S41" i="4"/>
  <c r="L14" i="4"/>
  <c r="S14" i="4"/>
  <c r="L76" i="4"/>
  <c r="S76" i="4"/>
  <c r="S12" i="4"/>
  <c r="L12" i="4"/>
  <c r="L56" i="4"/>
  <c r="S56" i="4"/>
  <c r="S23" i="4"/>
  <c r="L23" i="4"/>
  <c r="S28" i="4"/>
  <c r="L28" i="4"/>
  <c r="L35" i="4"/>
  <c r="S35" i="4"/>
  <c r="S83" i="4"/>
  <c r="L83" i="4"/>
  <c r="S26" i="4"/>
  <c r="L26" i="4"/>
  <c r="S17" i="4"/>
  <c r="L17" i="4"/>
  <c r="L63" i="4"/>
  <c r="S63" i="4"/>
  <c r="L91" i="4"/>
  <c r="S91" i="4"/>
  <c r="L86" i="4"/>
  <c r="S86" i="4"/>
  <c r="S44" i="4"/>
  <c r="L44" i="4"/>
  <c r="S55" i="4"/>
  <c r="L55" i="4"/>
  <c r="S6" i="4"/>
  <c r="L6" i="4"/>
  <c r="S51" i="4"/>
  <c r="L51" i="4"/>
  <c r="L99" i="4"/>
  <c r="S99" i="4"/>
  <c r="L92" i="4"/>
  <c r="S92" i="4"/>
  <c r="L43" i="4"/>
  <c r="S43" i="4"/>
  <c r="S81" i="4"/>
  <c r="L81" i="4"/>
  <c r="L45" i="4"/>
  <c r="S45" i="4"/>
  <c r="S85" i="4"/>
  <c r="L85" i="4"/>
  <c r="S24" i="4"/>
  <c r="L24" i="4"/>
  <c r="S61" i="4"/>
  <c r="L61" i="4"/>
  <c r="S33" i="4"/>
  <c r="L33" i="4"/>
  <c r="L32" i="4"/>
  <c r="S32" i="4"/>
  <c r="S64" i="4"/>
  <c r="L64" i="4"/>
  <c r="L67" i="4"/>
  <c r="S67" i="4"/>
  <c r="S90" i="4"/>
  <c r="L90" i="4"/>
  <c r="S95" i="4"/>
  <c r="L95" i="4"/>
  <c r="S4" i="4"/>
  <c r="L4" i="4"/>
  <c r="S3" i="4"/>
  <c r="L3" i="4"/>
  <c r="L47" i="4"/>
  <c r="S47" i="4"/>
  <c r="S71" i="4"/>
  <c r="L71" i="4"/>
  <c r="S31" i="4"/>
  <c r="L31" i="4"/>
  <c r="L88" i="4"/>
  <c r="S88" i="4"/>
  <c r="L25" i="4"/>
  <c r="S25" i="4"/>
  <c r="L40" i="4"/>
  <c r="S40" i="4"/>
  <c r="S8" i="4"/>
  <c r="L8" i="4"/>
  <c r="L60" i="4"/>
  <c r="S60" i="4"/>
  <c r="L10" i="4"/>
  <c r="S10" i="4"/>
  <c r="S34" i="4"/>
  <c r="L34" i="4"/>
  <c r="L9" i="4"/>
  <c r="S9" i="4"/>
  <c r="L49" i="4"/>
  <c r="S49" i="4"/>
  <c r="L21" i="4"/>
  <c r="S21" i="4"/>
  <c r="S73" i="4"/>
  <c r="L73" i="4"/>
  <c r="L93" i="4"/>
  <c r="S93" i="4"/>
  <c r="L78" i="4"/>
  <c r="S78" i="4"/>
</calcChain>
</file>

<file path=xl/sharedStrings.xml><?xml version="1.0" encoding="utf-8"?>
<sst xmlns="http://schemas.openxmlformats.org/spreadsheetml/2006/main" count="366" uniqueCount="148">
  <si>
    <t>EXPERIMENT / SESSION OVERVIEW</t>
  </si>
  <si>
    <t>CONTROLS</t>
  </si>
  <si>
    <t>RESOLVED MACHINE FIELDS</t>
  </si>
  <si>
    <t>Active highlight</t>
  </si>
  <si>
    <t>Exp</t>
  </si>
  <si>
    <t>Date</t>
  </si>
  <si>
    <t>Time</t>
  </si>
  <si>
    <t>Name</t>
  </si>
  <si>
    <t>Arrangement</t>
  </si>
  <si>
    <t>annotationSet</t>
  </si>
  <si>
    <t>Description text</t>
  </si>
  <si>
    <t>Ext</t>
  </si>
  <si>
    <t>Include</t>
  </si>
  <si>
    <t>Images</t>
  </si>
  <si>
    <t>Reg start</t>
  </si>
  <si>
    <t>Reg end</t>
  </si>
  <si>
    <t>Status</t>
  </si>
  <si>
    <t>ID</t>
  </si>
  <si>
    <t>VBA controls</t>
  </si>
  <si>
    <t>Exp*</t>
  </si>
  <si>
    <t>Date*</t>
  </si>
  <si>
    <t>Name*</t>
  </si>
  <si>
    <t>Arrangement*</t>
  </si>
  <si>
    <t>annotationSet*</t>
  </si>
  <si>
    <t>Description text*</t>
  </si>
  <si>
    <t>Ext*</t>
  </si>
  <si>
    <t>sessionUID*</t>
  </si>
  <si>
    <t>Legend visible</t>
  </si>
  <si>
    <t>14.08.26</t>
  </si>
  <si>
    <t>24h</t>
  </si>
  <si>
    <t>A</t>
  </si>
  <si>
    <t>Arrangement 1</t>
  </si>
  <si>
    <t>annotationSet 1</t>
  </si>
  <si>
    <t>growth</t>
  </si>
  <si>
    <t>.jpg</t>
  </si>
  <si>
    <t>installed separately</t>
  </si>
  <si>
    <t>VBA live</t>
  </si>
  <si>
    <t>15.08.26</t>
  </si>
  <si>
    <t>48h</t>
  </si>
  <si>
    <t>B</t>
  </si>
  <si>
    <t>LIVE / PAUSED</t>
  </si>
  <si>
    <t>Sync pending</t>
  </si>
  <si>
    <t>Arrangement 2</t>
  </si>
  <si>
    <t>annotationSet 2</t>
  </si>
  <si>
    <t>[none]</t>
  </si>
  <si>
    <t>Sync Now</t>
  </si>
  <si>
    <t>Capacity row</t>
  </si>
  <si>
    <t>Legend (bottom)</t>
  </si>
  <si>
    <t>ARRANGEMENTS — REUSABLE IMAGE / SAMPLE ORDER</t>
  </si>
  <si>
    <t>Image #</t>
  </si>
  <si>
    <t>Sample description</t>
  </si>
  <si>
    <t>Set</t>
  </si>
  <si>
    <t>Media</t>
  </si>
  <si>
    <t>Condition</t>
  </si>
  <si>
    <t>Rep #</t>
  </si>
  <si>
    <t>Condition*</t>
  </si>
  <si>
    <t>Group key*</t>
  </si>
  <si>
    <t>Check*</t>
  </si>
  <si>
    <t>YPDA</t>
  </si>
  <si>
    <t>heat</t>
  </si>
  <si>
    <t>salt</t>
  </si>
  <si>
    <t>ANNOTATION SET ASSIGNMENTS</t>
  </si>
  <si>
    <t>STRAIN LABEL PROFILES — labels_strain populates right to left</t>
  </si>
  <si>
    <t>VERTICAL LABEL PROFILES</t>
  </si>
  <si>
    <t>OTHER LABEL PROFILES</t>
  </si>
  <si>
    <t>STRAIN MACHINE</t>
  </si>
  <si>
    <t>VERTICAL MACHINE</t>
  </si>
  <si>
    <t>OTHER MACHINE</t>
  </si>
  <si>
    <t>Type</t>
  </si>
  <si>
    <t>Profile</t>
  </si>
  <si>
    <t>Order</t>
  </si>
  <si>
    <t>Check</t>
  </si>
  <si>
    <t>Strain profile</t>
  </si>
  <si>
    <t>labels_strain</t>
  </si>
  <si>
    <t>Pos</t>
  </si>
  <si>
    <t>Vertical profile</t>
  </si>
  <si>
    <t>labels_vertical</t>
  </si>
  <si>
    <t>Other profile</t>
  </si>
  <si>
    <t>labels_other</t>
  </si>
  <si>
    <t>Profile*</t>
  </si>
  <si>
    <t>Set*</t>
  </si>
  <si>
    <t>Key*</t>
  </si>
  <si>
    <t>strain</t>
  </si>
  <si>
    <t>Strain 1</t>
  </si>
  <si>
    <t>strain1</t>
  </si>
  <si>
    <t>Vertical 1</t>
  </si>
  <si>
    <t>Other 1</t>
  </si>
  <si>
    <t>leftA1</t>
  </si>
  <si>
    <t>Strain 2</t>
  </si>
  <si>
    <t>strain2</t>
  </si>
  <si>
    <t>leftA2</t>
  </si>
  <si>
    <t>vertical</t>
  </si>
  <si>
    <t>strain3</t>
  </si>
  <si>
    <t>leftB1</t>
  </si>
  <si>
    <t>other</t>
  </si>
  <si>
    <t>Other 2</t>
  </si>
  <si>
    <t>strain4</t>
  </si>
  <si>
    <t>leftB2</t>
  </si>
  <si>
    <t>rightA1</t>
  </si>
  <si>
    <t>rightA2</t>
  </si>
  <si>
    <t>rightA3</t>
  </si>
  <si>
    <t>exp2_strain1</t>
  </si>
  <si>
    <t>rightB1</t>
  </si>
  <si>
    <t>exp2_strain2</t>
  </si>
  <si>
    <t>rightB2</t>
  </si>
  <si>
    <t>exp2_strain3</t>
  </si>
  <si>
    <t>rightB3</t>
  </si>
  <si>
    <t>exp2_culture1</t>
  </si>
  <si>
    <t>exp2_culture2</t>
  </si>
  <si>
    <t>MASTER REGISTRY — GENERATED AUDIT / PROCESSING RECORD</t>
  </si>
  <si>
    <t>Original</t>
  </si>
  <si>
    <t>Image UID</t>
  </si>
  <si>
    <t>Working filename</t>
  </si>
  <si>
    <t>figureDescriptionLabel</t>
  </si>
  <si>
    <t>sugar</t>
  </si>
  <si>
    <t>c</t>
  </si>
  <si>
    <t>Replicate label</t>
  </si>
  <si>
    <t>Replicate label*</t>
  </si>
  <si>
    <t>16.08.26</t>
  </si>
  <si>
    <t>17.08.26</t>
  </si>
  <si>
    <t>Filename status</t>
  </si>
  <si>
    <t>Base filename*</t>
  </si>
  <si>
    <t>Base count*</t>
  </si>
  <si>
    <t>Set filename*</t>
  </si>
  <si>
    <t>Set filename count*</t>
  </si>
  <si>
    <t>exp2_culture3</t>
  </si>
  <si>
    <t>exp2_culture4</t>
  </si>
  <si>
    <t>strain5</t>
  </si>
  <si>
    <t>strain6</t>
  </si>
  <si>
    <t>strain7</t>
  </si>
  <si>
    <t>strain8</t>
  </si>
  <si>
    <t>strain9</t>
  </si>
  <si>
    <t>strain10</t>
  </si>
  <si>
    <t>strain11</t>
  </si>
  <si>
    <t>strain12</t>
  </si>
  <si>
    <t>exp2_strain4</t>
  </si>
  <si>
    <t>exp2_strain5</t>
  </si>
  <si>
    <t>exp2_strain6</t>
  </si>
  <si>
    <t>exp2_strain7</t>
  </si>
  <si>
    <t>exp2_strain8</t>
  </si>
  <si>
    <t>exp2_strain9</t>
  </si>
  <si>
    <t>exp2_strain10</t>
  </si>
  <si>
    <t>exp2_culture5</t>
  </si>
  <si>
    <t>exp2_culture6</t>
  </si>
  <si>
    <t>exp2_culture7</t>
  </si>
  <si>
    <t>exp2_culture8</t>
  </si>
  <si>
    <t>exp2_culture9</t>
  </si>
  <si>
    <t>exp2_culture10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</si>
</sst>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sz val="9"/>
      <name val="Carlito"/>
    </font>
    <font>
      <b/>
      <sz val="10"/>
      <color rgb="FF1F1F1F"/>
      <name val="Carlito"/>
    </font>
    <font>
      <sz val="10"/>
      <color rgb="FF1F1F1F"/>
      <name val="Carlito"/>
    </font>
    <font>
      <b/>
      <sz val="11"/>
      <name val="Carlito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B4C6E7"/>
      </patternFill>
    </fill>
    <fill>
      <patternFill patternType="solid">
        <fgColor rgb="FFE2F0D9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C7CE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2D1D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44546A"/>
      </left>
      <right/>
      <top style="medium">
        <color rgb="FF44546A"/>
      </top>
      <bottom style="medium">
        <color rgb="FF44546A"/>
      </bottom>
      <diagonal/>
    </border>
    <border>
      <left/>
      <right/>
      <top style="medium">
        <color rgb="FF44546A"/>
      </top>
      <bottom style="medium">
        <color rgb="FF44546A"/>
      </bottom>
      <diagonal/>
    </border>
    <border>
      <left/>
      <right style="medium">
        <color rgb="FF44546A"/>
      </right>
      <top style="medium">
        <color rgb="FF44546A"/>
      </top>
      <bottom style="medium">
        <color rgb="FF44546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44546A"/>
      </left>
      <right/>
      <top style="medium">
        <color rgb="FF44546A"/>
      </top>
      <bottom/>
      <diagonal/>
    </border>
    <border>
      <left/>
      <right style="medium">
        <color rgb="FF44546A"/>
      </right>
      <top style="medium">
        <color rgb="FF44546A"/>
      </top>
      <bottom/>
      <diagonal/>
    </border>
    <border>
      <left style="medium">
        <color rgb="FF44546A"/>
      </left>
      <right/>
      <top/>
      <bottom/>
      <diagonal/>
    </border>
    <border>
      <left/>
      <right style="medium">
        <color rgb="FF44546A"/>
      </right>
      <top/>
      <bottom/>
      <diagonal/>
    </border>
    <border>
      <left style="medium">
        <color rgb="FF44546A"/>
      </left>
      <right/>
      <top/>
      <bottom style="medium">
        <color rgb="FF44546A"/>
      </bottom>
      <diagonal/>
    </border>
    <border>
      <left/>
      <right style="medium">
        <color rgb="FF44546A"/>
      </right>
      <top/>
      <bottom style="medium">
        <color rgb="FF44546A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44546A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medium">
        <color rgb="FF44546A"/>
      </top>
      <bottom/>
      <diagonal/>
    </border>
    <border>
      <left/>
      <right style="medium">
        <color rgb="FF44546A"/>
      </right>
      <top/>
      <bottom style="thin">
        <color rgb="FFD9D9D9"/>
      </bottom>
      <diagonal/>
    </border>
    <border>
      <left/>
      <right style="medium">
        <color rgb="FF44546A"/>
      </right>
      <top style="medium">
        <color rgb="FF44546A"/>
      </top>
      <bottom style="thin">
        <color rgb="FFD9D9D9"/>
      </bottom>
      <diagonal/>
    </border>
    <border>
      <left/>
      <right/>
      <top style="medium">
        <color rgb="FF44546A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5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164" fontId="3" fillId="2" borderId="5" xfId="0" applyNumberFormat="1" applyFont="1" applyFill="1" applyBorder="1" applyAlignment="1">
      <alignment horizontal="left" vertical="center"/>
    </xf>
    <xf numFmtId="164" fontId="3" fillId="7" borderId="5" xfId="0" applyNumberFormat="1" applyFont="1" applyFill="1" applyBorder="1" applyAlignment="1">
      <alignment horizontal="left" vertical="center"/>
    </xf>
    <xf numFmtId="0" fontId="1" fillId="8" borderId="1" xfId="0" applyFont="1" applyFill="1" applyBorder="1"/>
    <xf numFmtId="0" fontId="1" fillId="8" borderId="1" xfId="0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5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0" fillId="4" borderId="0" xfId="0" applyFill="1"/>
    <xf numFmtId="0" fontId="3" fillId="6" borderId="14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3" fillId="9" borderId="14" xfId="0" applyFont="1" applyFill="1" applyBorder="1" applyAlignment="1">
      <alignment horizontal="left" vertical="center"/>
    </xf>
    <xf numFmtId="0" fontId="3" fillId="10" borderId="14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0" fontId="3" fillId="15" borderId="5" xfId="0" applyFont="1" applyFill="1" applyBorder="1" applyAlignment="1">
      <alignment horizontal="left" vertical="center"/>
    </xf>
    <xf numFmtId="0" fontId="3" fillId="7" borderId="16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left" vertical="center"/>
    </xf>
    <xf numFmtId="0" fontId="3" fillId="12" borderId="16" xfId="0" applyFont="1" applyFill="1" applyBorder="1" applyAlignment="1">
      <alignment horizontal="left" vertical="center"/>
    </xf>
    <xf numFmtId="0" fontId="3" fillId="13" borderId="16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15" borderId="14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3" fillId="16" borderId="5" xfId="0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left" vertical="center"/>
    </xf>
    <xf numFmtId="0" fontId="3" fillId="18" borderId="5" xfId="0" applyFont="1" applyFill="1" applyBorder="1" applyAlignment="1">
      <alignment horizontal="left" vertical="center"/>
    </xf>
    <xf numFmtId="0" fontId="3" fillId="17" borderId="14" xfId="0" applyFont="1" applyFill="1" applyBorder="1" applyAlignment="1">
      <alignment horizontal="left" vertical="center"/>
    </xf>
    <xf numFmtId="0" fontId="3" fillId="17" borderId="13" xfId="0" applyFont="1" applyFill="1" applyBorder="1" applyAlignment="1">
      <alignment horizontal="left" vertical="center"/>
    </xf>
    <xf numFmtId="0" fontId="3" fillId="19" borderId="5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/>
    </xf>
    <xf numFmtId="0" fontId="3" fillId="9" borderId="16" xfId="0" applyFont="1" applyFill="1" applyBorder="1" applyAlignment="1">
      <alignment horizontal="left" vertical="center"/>
    </xf>
    <xf numFmtId="0" fontId="3" fillId="11" borderId="14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3" fillId="11" borderId="13" xfId="0" applyFont="1" applyFill="1" applyBorder="1" applyAlignment="1">
      <alignment horizontal="left" vertical="center"/>
    </xf>
    <xf numFmtId="0" fontId="3" fillId="20" borderId="13" xfId="0" applyFont="1" applyFill="1" applyBorder="1" applyAlignment="1">
      <alignment horizontal="left" vertical="center"/>
    </xf>
    <xf numFmtId="0" fontId="3" fillId="21" borderId="5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3" fillId="21" borderId="13" xfId="0" applyFont="1" applyFill="1" applyBorder="1" applyAlignment="1">
      <alignment horizontal="left" vertical="center"/>
    </xf>
    <xf numFmtId="0" fontId="3" fillId="22" borderId="5" xfId="0" applyFont="1" applyFill="1" applyBorder="1" applyAlignment="1">
      <alignment horizontal="left" vertical="center"/>
    </xf>
    <xf numFmtId="0" fontId="3" fillId="20" borderId="16" xfId="0" applyFont="1" applyFill="1" applyBorder="1" applyAlignment="1">
      <alignment horizontal="left" vertical="center"/>
    </xf>
    <xf numFmtId="0" fontId="3" fillId="22" borderId="14" xfId="0" applyFont="1" applyFill="1" applyBorder="1" applyAlignment="1">
      <alignment horizontal="left" vertical="center"/>
    </xf>
    <xf numFmtId="0" fontId="3" fillId="22" borderId="13" xfId="0" applyFont="1" applyFill="1" applyBorder="1" applyAlignment="1">
      <alignment horizontal="left" vertical="center"/>
    </xf>
    <xf numFmtId="0" fontId="3" fillId="23" borderId="5" xfId="0" applyFont="1" applyFill="1" applyBorder="1" applyAlignment="1">
      <alignment horizontal="left" vertical="center"/>
    </xf>
    <xf numFmtId="0" fontId="3" fillId="24" borderId="14" xfId="0" applyFont="1" applyFill="1" applyBorder="1" applyAlignment="1">
      <alignment horizontal="left" vertical="center"/>
    </xf>
    <xf numFmtId="0" fontId="3" fillId="24" borderId="13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left" vertical="center"/>
    </xf>
    <xf numFmtId="0" fontId="3" fillId="26" borderId="5" xfId="0" applyFont="1" applyFill="1" applyBorder="1" applyAlignment="1">
      <alignment horizontal="left" vertical="center"/>
    </xf>
    <xf numFmtId="0" fontId="3" fillId="22" borderId="16" xfId="0" applyFont="1" applyFill="1" applyBorder="1" applyAlignment="1">
      <alignment horizontal="left" vertical="center"/>
    </xf>
    <xf numFmtId="0" fontId="3" fillId="25" borderId="16" xfId="0" applyFont="1" applyFill="1" applyBorder="1" applyAlignment="1">
      <alignment horizontal="left" vertical="center"/>
    </xf>
    <xf numFmtId="0" fontId="3" fillId="23" borderId="14" xfId="0" applyFont="1" applyFill="1" applyBorder="1" applyAlignment="1">
      <alignment horizontal="left" vertical="center"/>
    </xf>
    <xf numFmtId="0" fontId="3" fillId="26" borderId="14" xfId="0" applyFont="1" applyFill="1" applyBorder="1" applyAlignment="1">
      <alignment horizontal="left" vertical="center"/>
    </xf>
    <xf numFmtId="0" fontId="3" fillId="23" borderId="13" xfId="0" applyFont="1" applyFill="1" applyBorder="1" applyAlignment="1">
      <alignment horizontal="left" vertical="center"/>
    </xf>
    <xf numFmtId="0" fontId="3" fillId="26" borderId="13" xfId="0" applyFont="1" applyFill="1" applyBorder="1" applyAlignment="1">
      <alignment horizontal="left" vertical="center"/>
    </xf>
    <xf numFmtId="0" fontId="3" fillId="27" borderId="5" xfId="0" applyFont="1" applyFill="1" applyBorder="1" applyAlignment="1">
      <alignment horizontal="left" vertical="center"/>
    </xf>
    <xf numFmtId="164" fontId="3" fillId="7" borderId="13" xfId="0" applyNumberFormat="1" applyFont="1" applyFill="1" applyBorder="1" applyAlignment="1">
      <alignment horizontal="left" vertical="center"/>
    </xf>
    <xf numFmtId="164" fontId="3" fillId="7" borderId="14" xfId="0" applyNumberFormat="1" applyFont="1" applyFill="1" applyBorder="1" applyAlignment="1">
      <alignment horizontal="left" vertical="center"/>
    </xf>
    <xf numFmtId="164" fontId="3" fillId="7" borderId="16" xfId="0" applyNumberFormat="1" applyFont="1" applyFill="1" applyBorder="1" applyAlignment="1">
      <alignment horizontal="left" vertical="center"/>
    </xf>
    <xf numFmtId="0" fontId="3" fillId="18" borderId="16" xfId="0" applyFont="1" applyFill="1" applyBorder="1" applyAlignment="1">
      <alignment horizontal="left" vertical="center"/>
    </xf>
    <xf numFmtId="0" fontId="3" fillId="7" borderId="17" xfId="0" applyFont="1" applyFill="1" applyBorder="1" applyAlignment="1">
      <alignment horizontal="left" vertical="center"/>
    </xf>
    <xf numFmtId="0" fontId="3" fillId="21" borderId="17" xfId="0" applyFont="1" applyFill="1" applyBorder="1" applyAlignment="1">
      <alignment horizontal="left" vertical="center"/>
    </xf>
    <xf numFmtId="0" fontId="3" fillId="14" borderId="17" xfId="0" applyFont="1" applyFill="1" applyBorder="1" applyAlignment="1">
      <alignment horizontal="left" vertical="center"/>
    </xf>
    <xf numFmtId="164" fontId="3" fillId="7" borderId="17" xfId="0" applyNumberFormat="1" applyFont="1" applyFill="1" applyBorder="1" applyAlignment="1">
      <alignment horizontal="left" vertical="center"/>
    </xf>
    <xf numFmtId="0" fontId="4" fillId="4" borderId="7" xfId="0" applyFont="1" applyFill="1" applyBorder="1"/>
    <xf numFmtId="49" fontId="0" fillId="0" borderId="9" xfId="0" applyNumberFormat="1" applyBorder="1"/>
    <xf numFmtId="49" fontId="0" fillId="0" borderId="11" xfId="0" applyNumberFormat="1" applyBorder="1"/>
    <xf numFmtId="49" fontId="0" fillId="0" borderId="0" xfId="0" applyNumberFormat="1"/>
    <xf numFmtId="0" fontId="3" fillId="12" borderId="14" xfId="0" applyFont="1" applyFill="1" applyBorder="1" applyAlignment="1">
      <alignment horizontal="left" vertical="center"/>
    </xf>
    <xf numFmtId="49" fontId="3" fillId="12" borderId="14" xfId="0" applyNumberFormat="1" applyFont="1" applyFill="1" applyBorder="1" applyAlignment="1">
      <alignment horizontal="left" vertical="center"/>
    </xf>
    <xf numFmtId="0" fontId="3" fillId="12" borderId="14" xfId="0" applyFont="1" applyFill="1" applyBorder="1" applyAlignment="1">
      <alignment horizontal="left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0" fillId="12" borderId="9" xfId="0" applyNumberFormat="1" applyFill="1" applyBorder="1"/>
    <xf numFmtId="0" fontId="3" fillId="12" borderId="15" xfId="0" applyFont="1" applyFill="1" applyBorder="1" applyAlignment="1">
      <alignment horizontal="left" vertical="center"/>
    </xf>
    <xf numFmtId="49" fontId="3" fillId="12" borderId="15" xfId="0" applyNumberFormat="1" applyFont="1" applyFill="1" applyBorder="1" applyAlignment="1">
      <alignment horizontal="left" vertical="center"/>
    </xf>
    <xf numFmtId="0" fontId="3" fillId="12" borderId="15" xfId="0" applyFont="1" applyFill="1" applyBorder="1" applyAlignment="1">
      <alignment horizontal="left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3" fillId="14" borderId="14" xfId="0" applyNumberFormat="1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0" fillId="14" borderId="9" xfId="0" applyNumberFormat="1" applyFill="1" applyBorder="1"/>
    <xf numFmtId="49" fontId="3" fillId="14" borderId="13" xfId="0" applyNumberFormat="1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" fillId="7" borderId="18" xfId="0" applyFont="1" applyFill="1" applyBorder="1" applyAlignment="1">
      <alignment horizontal="left" vertical="center"/>
    </xf>
    <xf numFmtId="49" fontId="0" fillId="12" borderId="7" xfId="0" applyNumberFormat="1" applyFill="1" applyBorder="1"/>
    <xf numFmtId="0" fontId="3" fillId="7" borderId="19" xfId="0" applyFont="1" applyFill="1" applyBorder="1" applyAlignment="1">
      <alignment horizontal="left" vertical="center"/>
    </xf>
    <xf numFmtId="49" fontId="0" fillId="14" borderId="7" xfId="0" applyNumberFormat="1" applyFill="1" applyBorder="1"/>
    <xf numFmtId="0" fontId="0" fillId="0" borderId="7" xfId="0" applyBorder="1"/>
    <xf numFmtId="0" fontId="3" fillId="13" borderId="14" xfId="0" applyFont="1" applyFill="1" applyBorder="1" applyAlignment="1">
      <alignment horizontal="left" vertical="center"/>
    </xf>
    <xf numFmtId="0" fontId="3" fillId="13" borderId="17" xfId="0" applyFont="1" applyFill="1" applyBorder="1" applyAlignment="1">
      <alignment horizontal="left" vertical="center"/>
    </xf>
    <xf numFmtId="0" fontId="0" fillId="0" borderId="20" xfId="0" applyBorder="1"/>
    <xf numFmtId="0" fontId="3" fillId="18" borderId="14" xfId="0" applyFont="1" applyFill="1" applyBorder="1" applyAlignment="1">
      <alignment horizontal="left" vertical="center"/>
    </xf>
    <xf numFmtId="0" fontId="3" fillId="17" borderId="16" xfId="0" applyFont="1" applyFill="1" applyBorder="1" applyAlignment="1">
      <alignment horizontal="left" vertical="center"/>
    </xf>
    <xf numFmtId="0" fontId="3" fillId="19" borderId="14" xfId="0" applyFont="1" applyFill="1" applyBorder="1" applyAlignment="1">
      <alignment horizontal="left" vertical="center"/>
    </xf>
    <xf numFmtId="0" fontId="3" fillId="19" borderId="13" xfId="0" applyFont="1" applyFill="1" applyBorder="1" applyAlignment="1">
      <alignment horizontal="left" vertical="center"/>
    </xf>
    <xf numFmtId="0" fontId="3" fillId="21" borderId="16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9" borderId="15" xfId="0" applyFont="1" applyFill="1" applyBorder="1" applyAlignment="1">
      <alignment horizontal="left" vertical="center"/>
    </xf>
    <xf numFmtId="0" fontId="3" fillId="17" borderId="15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FFE664"/>
        </patternFill>
      </fill>
    </dxf>
    <dxf>
      <fill>
        <patternFill>
          <bgColor rgb="FFBDD7EE"/>
        </patternFill>
      </fill>
    </dxf>
    <dxf>
      <fill>
        <patternFill>
          <bgColor rgb="FFFFE664"/>
        </patternFill>
      </fill>
    </dxf>
    <dxf>
      <fill>
        <patternFill>
          <bgColor rgb="FFBDD7EE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FFE664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666666"/>
      </font>
      <fill>
        <patternFill>
          <bgColor rgb="FFE7E6E6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>
          <bgColor rgb="FFFFE664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c934e498cb54412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</xdr:row>
          <xdr:rowOff>38100</xdr:rowOff>
        </xdr:from>
        <xdr:to>
          <xdr:col>15</xdr:col>
          <xdr:colOff>1371600</xdr:colOff>
          <xdr:row>2</xdr:row>
          <xdr:rowOff>38100</xdr:rowOff>
        </xdr:to>
        <xdr:sp macro="" textlink="">
          <xdr:nvSpPr>
            <xdr:cNvPr id="2169" name="PWBTN_State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VBA PAUSED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2</xdr:row>
          <xdr:rowOff>76200</xdr:rowOff>
        </xdr:from>
        <xdr:to>
          <xdr:col>15</xdr:col>
          <xdr:colOff>1371600</xdr:colOff>
          <xdr:row>4</xdr:row>
          <xdr:rowOff>4763</xdr:rowOff>
        </xdr:to>
        <xdr:sp macro="" textlink="">
          <xdr:nvSpPr>
            <xdr:cNvPr id="2170" name="PWBTN_Sync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Sync Now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4</xdr:row>
          <xdr:rowOff>42863</xdr:rowOff>
        </xdr:from>
        <xdr:to>
          <xdr:col>15</xdr:col>
          <xdr:colOff>1371600</xdr:colOff>
          <xdr:row>5</xdr:row>
          <xdr:rowOff>147638</xdr:rowOff>
        </xdr:to>
        <xdr:sp macro="" textlink="">
          <xdr:nvSpPr>
            <xdr:cNvPr id="2171" name="PWBTN_NewExperiment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New Experiment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6</xdr:row>
          <xdr:rowOff>9525</xdr:rowOff>
        </xdr:from>
        <xdr:to>
          <xdr:col>15</xdr:col>
          <xdr:colOff>1371600</xdr:colOff>
          <xdr:row>7</xdr:row>
          <xdr:rowOff>109538</xdr:rowOff>
        </xdr:to>
        <xdr:sp macro="" textlink="">
          <xdr:nvSpPr>
            <xdr:cNvPr id="2172" name="PWBTN_NewSession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New Session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7</xdr:row>
          <xdr:rowOff>147638</xdr:rowOff>
        </xdr:from>
        <xdr:to>
          <xdr:col>15</xdr:col>
          <xdr:colOff>1371600</xdr:colOff>
          <xdr:row>9</xdr:row>
          <xdr:rowOff>76200</xdr:rowOff>
        </xdr:to>
        <xdr:sp macro="" textlink="">
          <xdr:nvSpPr>
            <xdr:cNvPr id="2173" name="PWBTN_GoArrangement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Arrangement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9</xdr:row>
          <xdr:rowOff>114300</xdr:rowOff>
        </xdr:from>
        <xdr:to>
          <xdr:col>15</xdr:col>
          <xdr:colOff>1371600</xdr:colOff>
          <xdr:row>11</xdr:row>
          <xdr:rowOff>42863</xdr:rowOff>
        </xdr:to>
        <xdr:sp macro="" textlink="">
          <xdr:nvSpPr>
            <xdr:cNvPr id="2174" name="PWBTN_GoAnnotations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annotationSet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11</xdr:row>
          <xdr:rowOff>80963</xdr:rowOff>
        </xdr:from>
        <xdr:to>
          <xdr:col>15</xdr:col>
          <xdr:colOff>1371600</xdr:colOff>
          <xdr:row>13</xdr:row>
          <xdr:rowOff>4763</xdr:rowOff>
        </xdr:to>
        <xdr:sp macro="" textlink="">
          <xdr:nvSpPr>
            <xdr:cNvPr id="2175" name="PWBTN_Expand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+ 30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13</xdr:row>
          <xdr:rowOff>42863</xdr:rowOff>
        </xdr:from>
        <xdr:to>
          <xdr:col>15</xdr:col>
          <xdr:colOff>1371600</xdr:colOff>
          <xdr:row>14</xdr:row>
          <xdr:rowOff>147638</xdr:rowOff>
        </xdr:to>
        <xdr:sp macro="" textlink="">
          <xdr:nvSpPr>
            <xdr:cNvPr id="2176" name="PWBTN_Highlight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Active Highlight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15</xdr:row>
          <xdr:rowOff>9525</xdr:rowOff>
        </xdr:from>
        <xdr:to>
          <xdr:col>15</xdr:col>
          <xdr:colOff>1371600</xdr:colOff>
          <xdr:row>16</xdr:row>
          <xdr:rowOff>114300</xdr:rowOff>
        </xdr:to>
        <xdr:sp macro="" textlink="">
          <xdr:nvSpPr>
            <xdr:cNvPr id="2177" name="PWBTN_Instructions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Instructions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16</xdr:row>
          <xdr:rowOff>152400</xdr:rowOff>
        </xdr:from>
        <xdr:to>
          <xdr:col>15</xdr:col>
          <xdr:colOff>1371600</xdr:colOff>
          <xdr:row>18</xdr:row>
          <xdr:rowOff>76200</xdr:rowOff>
        </xdr:to>
        <xdr:sp macro="" textlink="">
          <xdr:nvSpPr>
            <xdr:cNvPr id="2178" name="PWBTN_Refresh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Colours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18</xdr:row>
          <xdr:rowOff>114300</xdr:rowOff>
        </xdr:from>
        <xdr:to>
          <xdr:col>15</xdr:col>
          <xdr:colOff>1371600</xdr:colOff>
          <xdr:row>20</xdr:row>
          <xdr:rowOff>42863</xdr:rowOff>
        </xdr:to>
        <xdr:sp macro="" textlink="">
          <xdr:nvSpPr>
            <xdr:cNvPr id="2179" name="PWBTN_Rebuild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Rebuild Controls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20</xdr:row>
          <xdr:rowOff>80963</xdr:rowOff>
        </xdr:from>
        <xdr:to>
          <xdr:col>15</xdr:col>
          <xdr:colOff>1371600</xdr:colOff>
          <xdr:row>22</xdr:row>
          <xdr:rowOff>9525</xdr:rowOff>
        </xdr:to>
        <xdr:sp macro="" textlink="">
          <xdr:nvSpPr>
            <xdr:cNvPr id="2180" name="PWBTN_Legend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Legend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1</xdr:row>
          <xdr:rowOff>38100</xdr:rowOff>
        </xdr:from>
        <xdr:to>
          <xdr:col>11</xdr:col>
          <xdr:colOff>152400</xdr:colOff>
          <xdr:row>2</xdr:row>
          <xdr:rowOff>38100</xdr:rowOff>
        </xdr:to>
        <xdr:sp macro="" textlink="">
          <xdr:nvSpPr>
            <xdr:cNvPr id="3163" name="PWBTN_State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1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VBA PAUSED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2</xdr:row>
          <xdr:rowOff>76200</xdr:rowOff>
        </xdr:from>
        <xdr:to>
          <xdr:col>11</xdr:col>
          <xdr:colOff>152400</xdr:colOff>
          <xdr:row>4</xdr:row>
          <xdr:rowOff>14288</xdr:rowOff>
        </xdr:to>
        <xdr:sp macro="" textlink="">
          <xdr:nvSpPr>
            <xdr:cNvPr id="3164" name="PWBTN_Sync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1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Sync Now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4</xdr:row>
          <xdr:rowOff>52388</xdr:rowOff>
        </xdr:from>
        <xdr:to>
          <xdr:col>11</xdr:col>
          <xdr:colOff>152400</xdr:colOff>
          <xdr:row>5</xdr:row>
          <xdr:rowOff>161925</xdr:rowOff>
        </xdr:to>
        <xdr:sp macro="" textlink="">
          <xdr:nvSpPr>
            <xdr:cNvPr id="3165" name="PWBTN_NewArrangement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1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New Arrangement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6</xdr:row>
          <xdr:rowOff>28575</xdr:rowOff>
        </xdr:from>
        <xdr:to>
          <xdr:col>11</xdr:col>
          <xdr:colOff>152400</xdr:colOff>
          <xdr:row>7</xdr:row>
          <xdr:rowOff>133350</xdr:rowOff>
        </xdr:to>
        <xdr:sp macro="" textlink="">
          <xdr:nvSpPr>
            <xdr:cNvPr id="3166" name="PWBTN_Expand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1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+ 30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8</xdr:row>
          <xdr:rowOff>0</xdr:rowOff>
        </xdr:from>
        <xdr:to>
          <xdr:col>11</xdr:col>
          <xdr:colOff>152400</xdr:colOff>
          <xdr:row>9</xdr:row>
          <xdr:rowOff>109538</xdr:rowOff>
        </xdr:to>
        <xdr:sp macro="" textlink="">
          <xdr:nvSpPr>
            <xdr:cNvPr id="3167" name="PWBTN_Highlight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1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Active Highlight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9</xdr:row>
          <xdr:rowOff>147638</xdr:rowOff>
        </xdr:from>
        <xdr:to>
          <xdr:col>11</xdr:col>
          <xdr:colOff>152400</xdr:colOff>
          <xdr:row>11</xdr:row>
          <xdr:rowOff>85725</xdr:rowOff>
        </xdr:to>
        <xdr:sp macro="" textlink="">
          <xdr:nvSpPr>
            <xdr:cNvPr id="3168" name="PWBTN_Instructions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1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Instructions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11</xdr:row>
          <xdr:rowOff>123825</xdr:rowOff>
        </xdr:from>
        <xdr:to>
          <xdr:col>11</xdr:col>
          <xdr:colOff>152400</xdr:colOff>
          <xdr:row>13</xdr:row>
          <xdr:rowOff>57150</xdr:rowOff>
        </xdr:to>
        <xdr:sp macro="" textlink="">
          <xdr:nvSpPr>
            <xdr:cNvPr id="3169" name="PWBTN_Refresh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1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Colours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13</xdr:row>
          <xdr:rowOff>95250</xdr:rowOff>
        </xdr:from>
        <xdr:to>
          <xdr:col>11</xdr:col>
          <xdr:colOff>152400</xdr:colOff>
          <xdr:row>15</xdr:row>
          <xdr:rowOff>33338</xdr:rowOff>
        </xdr:to>
        <xdr:sp macro="" textlink="">
          <xdr:nvSpPr>
            <xdr:cNvPr id="3170" name="PWBTN_Rebuild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1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Rebuild Controls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38100</xdr:colOff>
          <xdr:row>15</xdr:row>
          <xdr:rowOff>71438</xdr:rowOff>
        </xdr:from>
        <xdr:to>
          <xdr:col>11</xdr:col>
          <xdr:colOff>152400</xdr:colOff>
          <xdr:row>17</xdr:row>
          <xdr:rowOff>9525</xdr:rowOff>
        </xdr:to>
        <xdr:sp macro="" textlink="">
          <xdr:nvSpPr>
            <xdr:cNvPr id="3171" name="PWBTN_Legend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1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Legend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1</xdr:row>
          <xdr:rowOff>38100</xdr:rowOff>
        </xdr:from>
        <xdr:to>
          <xdr:col>24</xdr:col>
          <xdr:colOff>152400</xdr:colOff>
          <xdr:row>2</xdr:row>
          <xdr:rowOff>38100</xdr:rowOff>
        </xdr:to>
        <xdr:sp macro="" textlink="">
          <xdr:nvSpPr>
            <xdr:cNvPr id="1115" name="PWBTN_State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2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VBA PAUSED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2</xdr:row>
          <xdr:rowOff>76200</xdr:rowOff>
        </xdr:from>
        <xdr:to>
          <xdr:col>24</xdr:col>
          <xdr:colOff>152400</xdr:colOff>
          <xdr:row>4</xdr:row>
          <xdr:rowOff>14288</xdr:rowOff>
        </xdr:to>
        <xdr:sp macro="" textlink="">
          <xdr:nvSpPr>
            <xdr:cNvPr id="1116" name="PWBTN_Sync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2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Sync Now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4</xdr:row>
          <xdr:rowOff>52388</xdr:rowOff>
        </xdr:from>
        <xdr:to>
          <xdr:col>24</xdr:col>
          <xdr:colOff>152400</xdr:colOff>
          <xdr:row>5</xdr:row>
          <xdr:rowOff>161925</xdr:rowOff>
        </xdr:to>
        <xdr:sp macro="" textlink="">
          <xdr:nvSpPr>
            <xdr:cNvPr id="1117" name="PWBTN_NewAnnotationSet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2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New annotationSet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6</xdr:row>
          <xdr:rowOff>23813</xdr:rowOff>
        </xdr:from>
        <xdr:to>
          <xdr:col>24</xdr:col>
          <xdr:colOff>152400</xdr:colOff>
          <xdr:row>7</xdr:row>
          <xdr:rowOff>128588</xdr:rowOff>
        </xdr:to>
        <xdr:sp macro="" textlink="">
          <xdr:nvSpPr>
            <xdr:cNvPr id="1118" name="PWBTN_Expand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2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+ 30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7</xdr:row>
          <xdr:rowOff>166688</xdr:rowOff>
        </xdr:from>
        <xdr:to>
          <xdr:col>24</xdr:col>
          <xdr:colOff>152400</xdr:colOff>
          <xdr:row>9</xdr:row>
          <xdr:rowOff>95250</xdr:rowOff>
        </xdr:to>
        <xdr:sp macro="" textlink="">
          <xdr:nvSpPr>
            <xdr:cNvPr id="1119" name="PWBTN_Highlight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2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Active Highlight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9</xdr:row>
          <xdr:rowOff>133350</xdr:rowOff>
        </xdr:from>
        <xdr:to>
          <xdr:col>24</xdr:col>
          <xdr:colOff>152400</xdr:colOff>
          <xdr:row>11</xdr:row>
          <xdr:rowOff>71438</xdr:rowOff>
        </xdr:to>
        <xdr:sp macro="" textlink="">
          <xdr:nvSpPr>
            <xdr:cNvPr id="1120" name="PWBTN_Instructions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2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Instructions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11</xdr:row>
          <xdr:rowOff>109538</xdr:rowOff>
        </xdr:from>
        <xdr:to>
          <xdr:col>24</xdr:col>
          <xdr:colOff>152400</xdr:colOff>
          <xdr:row>13</xdr:row>
          <xdr:rowOff>38100</xdr:rowOff>
        </xdr:to>
        <xdr:sp macro="" textlink="">
          <xdr:nvSpPr>
            <xdr:cNvPr id="1121" name="PWBTN_Refresh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2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Colours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13</xdr:row>
          <xdr:rowOff>76200</xdr:rowOff>
        </xdr:from>
        <xdr:to>
          <xdr:col>24</xdr:col>
          <xdr:colOff>152400</xdr:colOff>
          <xdr:row>15</xdr:row>
          <xdr:rowOff>9525</xdr:rowOff>
        </xdr:to>
        <xdr:sp macro="" textlink="">
          <xdr:nvSpPr>
            <xdr:cNvPr id="1122" name="PWBTN_Rebuild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2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Rebuild Controls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38100</xdr:colOff>
          <xdr:row>15</xdr:row>
          <xdr:rowOff>47625</xdr:rowOff>
        </xdr:from>
        <xdr:to>
          <xdr:col>24</xdr:col>
          <xdr:colOff>152400</xdr:colOff>
          <xdr:row>16</xdr:row>
          <xdr:rowOff>157163</xdr:rowOff>
        </xdr:to>
        <xdr:sp macro="" textlink="">
          <xdr:nvSpPr>
            <xdr:cNvPr id="1123" name="PWBTN_Legend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2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Legend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1</xdr:row>
          <xdr:rowOff>38100</xdr:rowOff>
        </xdr:from>
        <xdr:to>
          <xdr:col>24</xdr:col>
          <xdr:colOff>381000</xdr:colOff>
          <xdr:row>2</xdr:row>
          <xdr:rowOff>38100</xdr:rowOff>
        </xdr:to>
        <xdr:sp macro="" textlink="">
          <xdr:nvSpPr>
            <xdr:cNvPr id="4177" name="PWBTN_State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3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VBA PAUSED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2</xdr:row>
          <xdr:rowOff>76200</xdr:rowOff>
        </xdr:from>
        <xdr:to>
          <xdr:col>24</xdr:col>
          <xdr:colOff>381000</xdr:colOff>
          <xdr:row>4</xdr:row>
          <xdr:rowOff>4763</xdr:rowOff>
        </xdr:to>
        <xdr:sp macro="" textlink="">
          <xdr:nvSpPr>
            <xdr:cNvPr id="4178" name="PWBTN_Sync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3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Sync Now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4</xdr:row>
          <xdr:rowOff>42863</xdr:rowOff>
        </xdr:from>
        <xdr:to>
          <xdr:col>24</xdr:col>
          <xdr:colOff>381000</xdr:colOff>
          <xdr:row>5</xdr:row>
          <xdr:rowOff>147638</xdr:rowOff>
        </xdr:to>
        <xdr:sp macro="" textlink="">
          <xdr:nvSpPr>
            <xdr:cNvPr id="4179" name="PWBTN_Expand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3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+ 30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6</xdr:row>
          <xdr:rowOff>9525</xdr:rowOff>
        </xdr:from>
        <xdr:to>
          <xdr:col>24</xdr:col>
          <xdr:colOff>381000</xdr:colOff>
          <xdr:row>7</xdr:row>
          <xdr:rowOff>109538</xdr:rowOff>
        </xdr:to>
        <xdr:sp macro="" textlink="">
          <xdr:nvSpPr>
            <xdr:cNvPr id="4180" name="PWBTN_Highlight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3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Active Highlight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7</xdr:row>
          <xdr:rowOff>147638</xdr:rowOff>
        </xdr:from>
        <xdr:to>
          <xdr:col>24</xdr:col>
          <xdr:colOff>381000</xdr:colOff>
          <xdr:row>9</xdr:row>
          <xdr:rowOff>76200</xdr:rowOff>
        </xdr:to>
        <xdr:sp macro="" textlink="">
          <xdr:nvSpPr>
            <xdr:cNvPr id="4181" name="PWBTN_Instructions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3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Instructions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9</xdr:row>
          <xdr:rowOff>114300</xdr:rowOff>
        </xdr:from>
        <xdr:to>
          <xdr:col>24</xdr:col>
          <xdr:colOff>381000</xdr:colOff>
          <xdr:row>11</xdr:row>
          <xdr:rowOff>42863</xdr:rowOff>
        </xdr:to>
        <xdr:sp macro="" textlink="">
          <xdr:nvSpPr>
            <xdr:cNvPr id="4182" name="PWBTN_Refresh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3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Colours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11</xdr:row>
          <xdr:rowOff>80963</xdr:rowOff>
        </xdr:from>
        <xdr:to>
          <xdr:col>24</xdr:col>
          <xdr:colOff>381000</xdr:colOff>
          <xdr:row>13</xdr:row>
          <xdr:rowOff>4763</xdr:rowOff>
        </xdr:to>
        <xdr:sp macro="" textlink="">
          <xdr:nvSpPr>
            <xdr:cNvPr id="4183" name="PWBTN_Rebuild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3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Rebuild Controls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38100</xdr:colOff>
          <xdr:row>13</xdr:row>
          <xdr:rowOff>42863</xdr:rowOff>
        </xdr:from>
        <xdr:to>
          <xdr:col>24</xdr:col>
          <xdr:colOff>381000</xdr:colOff>
          <xdr:row>14</xdr:row>
          <xdr:rowOff>147638</xdr:rowOff>
        </xdr:to>
        <xdr:sp macro="" textlink="">
          <xdr:nvSpPr>
            <xdr:cNvPr id="4184" name="PWBTN_Legend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3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Legend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 /><Relationship Id="rId13" Type="http://schemas.openxmlformats.org/officeDocument/2006/relationships/ctrlProp" Target="../ctrlProps/ctrlProp10.xml" /><Relationship Id="rId3" Type="http://schemas.openxmlformats.org/officeDocument/2006/relationships/vmlDrawing" Target="../drawings/vmlDrawing1.vml" /><Relationship Id="rId7" Type="http://schemas.openxmlformats.org/officeDocument/2006/relationships/ctrlProp" Target="../ctrlProps/ctrlProp4.xml" /><Relationship Id="rId12" Type="http://schemas.openxmlformats.org/officeDocument/2006/relationships/ctrlProp" Target="../ctrlProps/ctrlProp9.xml" /><Relationship Id="rId2" Type="http://schemas.openxmlformats.org/officeDocument/2006/relationships/drawing" Target="../drawings/drawing1.xml" /><Relationship Id="rId6" Type="http://schemas.openxmlformats.org/officeDocument/2006/relationships/ctrlProp" Target="../ctrlProps/ctrlProp3.xml" /><Relationship Id="rId11" Type="http://schemas.openxmlformats.org/officeDocument/2006/relationships/ctrlProp" Target="../ctrlProps/ctrlProp8.xml" /><Relationship Id="rId5" Type="http://schemas.openxmlformats.org/officeDocument/2006/relationships/ctrlProp" Target="../ctrlProps/ctrlProp2.xml" /><Relationship Id="rId15" Type="http://schemas.openxmlformats.org/officeDocument/2006/relationships/ctrlProp" Target="../ctrlProps/ctrlProp12.xml" /><Relationship Id="rId10" Type="http://schemas.openxmlformats.org/officeDocument/2006/relationships/ctrlProp" Target="../ctrlProps/ctrlProp7.xml" /><Relationship Id="rId4" Type="http://schemas.openxmlformats.org/officeDocument/2006/relationships/ctrlProp" Target="../ctrlProps/ctrlProp1.xml" /><Relationship Id="rId9" Type="http://schemas.openxmlformats.org/officeDocument/2006/relationships/ctrlProp" Target="../ctrlProps/ctrlProp6.xml" /><Relationship Id="rId14" Type="http://schemas.openxmlformats.org/officeDocument/2006/relationships/ctrlProp" Target="../ctrlProps/ctrlProp1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3" Type="http://schemas.openxmlformats.org/officeDocument/2006/relationships/ctrlProp" Target="../ctrlProps/ctrlProp13.xml"/><Relationship Id="rId7" Type="http://schemas.openxmlformats.org/officeDocument/2006/relationships/ctrlProp" Target="../ctrlProps/ctrlProp1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ctrlProp" Target="../ctrlProps/ctrlProp22.xml"/><Relationship Id="rId7" Type="http://schemas.openxmlformats.org/officeDocument/2006/relationships/ctrlProp" Target="../ctrlProps/ctrlProp2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5" Type="http://schemas.openxmlformats.org/officeDocument/2006/relationships/ctrlProp" Target="../ctrlProps/ctrlProp2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3" Type="http://schemas.openxmlformats.org/officeDocument/2006/relationships/ctrlProp" Target="../ctrlProps/ctrlProp31.xml"/><Relationship Id="rId7" Type="http://schemas.openxmlformats.org/officeDocument/2006/relationships/ctrlProp" Target="../ctrlProps/ctrlProp3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34.xml"/><Relationship Id="rId5" Type="http://schemas.openxmlformats.org/officeDocument/2006/relationships/ctrlProp" Target="../ctrlProps/ctrlProp33.xml"/><Relationship Id="rId10" Type="http://schemas.openxmlformats.org/officeDocument/2006/relationships/ctrlProp" Target="../ctrlProps/ctrlProp38.xml"/><Relationship Id="rId4" Type="http://schemas.openxmlformats.org/officeDocument/2006/relationships/ctrlProp" Target="../ctrlProps/ctrlProp32.xml"/><Relationship Id="rId9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62"/>
  <sheetViews>
    <sheetView showGridLines="0" workbookViewId="0">
      <selection activeCell="H11" sqref="H11"/>
    </sheetView>
  </sheetViews>
  <sheetFormatPr defaultRowHeight="13.5"/>
  <cols>
    <col min="1" max="1" width="7" customWidth="1"/>
    <col min="2" max="2" width="11" customWidth="1"/>
    <col min="3" max="3" width="9" customWidth="1"/>
    <col min="4" max="4" width="12" customWidth="1"/>
    <col min="5" max="5" width="16" customWidth="1"/>
    <col min="6" max="6" width="17" customWidth="1"/>
    <col min="7" max="7" width="16.5625" customWidth="1"/>
    <col min="8" max="8" width="18" customWidth="1"/>
    <col min="9" max="9" width="8" customWidth="1"/>
    <col min="10" max="11" width="9" customWidth="1"/>
    <col min="12" max="13" width="10" customWidth="1"/>
    <col min="14" max="14" width="23" customWidth="1"/>
    <col min="15" max="16" width="20" customWidth="1"/>
    <col min="17" max="17" width="2.5625" hidden="1" customWidth="1"/>
    <col min="18" max="18" width="8" customWidth="1"/>
    <col min="19" max="19" width="13" customWidth="1"/>
    <col min="20" max="20" width="12" customWidth="1"/>
    <col min="21" max="21" width="16" customWidth="1"/>
    <col min="22" max="22" width="17" customWidth="1"/>
    <col min="23" max="23" width="18" customWidth="1"/>
    <col min="24" max="24" width="8" customWidth="1"/>
    <col min="25" max="25" width="30" customWidth="1"/>
    <col min="26" max="26" width="0" hidden="1" customWidth="1"/>
    <col min="52" max="52" width="15" customWidth="1"/>
    <col min="53" max="53" width="10" customWidth="1"/>
  </cols>
  <sheetData>
    <row r="1" spans="1:53" ht="22.05" customHeight="1" thickBot="1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125" t="s">
        <v>1</v>
      </c>
      <c r="Q1" s="126"/>
      <c r="R1" s="119" t="s">
        <v>2</v>
      </c>
      <c r="S1" s="120"/>
      <c r="T1" s="120"/>
      <c r="U1" s="120"/>
      <c r="V1" s="120"/>
      <c r="W1" s="120"/>
      <c r="X1" s="120"/>
      <c r="Y1" s="121"/>
      <c r="AY1" s="1" t="s">
        <v>3</v>
      </c>
      <c r="AZ1" s="2" t="b">
        <v>1</v>
      </c>
      <c r="BA1" s="2"/>
    </row>
    <row r="2" spans="1:53" ht="22.05" customHeight="1" thickBot="1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82" t="s">
        <v>116</v>
      </c>
      <c r="H2" s="17" t="s">
        <v>10</v>
      </c>
      <c r="I2" s="17" t="s">
        <v>11</v>
      </c>
      <c r="J2" s="17" t="s">
        <v>12</v>
      </c>
      <c r="K2" s="17" t="s">
        <v>13</v>
      </c>
      <c r="L2" s="17" t="s">
        <v>14</v>
      </c>
      <c r="M2" s="17" t="s">
        <v>15</v>
      </c>
      <c r="N2" s="17" t="s">
        <v>16</v>
      </c>
      <c r="O2" s="17" t="s">
        <v>17</v>
      </c>
      <c r="P2" s="7" t="s">
        <v>18</v>
      </c>
      <c r="Q2" s="82"/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t="s">
        <v>117</v>
      </c>
      <c r="AY2" s="1" t="s">
        <v>27</v>
      </c>
      <c r="AZ2" s="2" t="b">
        <v>0</v>
      </c>
      <c r="BA2" s="2"/>
    </row>
    <row r="3" spans="1:53" ht="13.9" thickBot="1">
      <c r="A3" s="86">
        <v>1</v>
      </c>
      <c r="B3" s="87" t="s">
        <v>28</v>
      </c>
      <c r="C3" s="86" t="s">
        <v>29</v>
      </c>
      <c r="D3" s="86"/>
      <c r="E3" s="86" t="s">
        <v>31</v>
      </c>
      <c r="F3" s="86" t="s">
        <v>32</v>
      </c>
      <c r="G3" s="99"/>
      <c r="H3" s="86" t="s">
        <v>33</v>
      </c>
      <c r="I3" s="86" t="s">
        <v>34</v>
      </c>
      <c r="J3" s="88" t="b">
        <v>1</v>
      </c>
      <c r="K3" s="22">
        <f>IF(B3="","",COUNTIF(Arrangements!$M$3:$M$92,U3))</f>
        <v>24</v>
      </c>
      <c r="L3" s="22">
        <f>IF(OR(B3="",N3&lt;&gt;"OK"),"",1)</f>
        <v>1</v>
      </c>
      <c r="M3" s="22">
        <f t="shared" ref="M3:M32" si="0">IF(L3="","",L3+K3-1)</f>
        <v>24</v>
      </c>
      <c r="N3" s="22" t="str">
        <f>IF(B3="","",IF(J3=FALSE,"Excluded",IF(R3="","Missing Exp",IF(NOT(IFERROR(TEXT(DATE(2000+VALUE(RIGHT(B3,2)),VALUE(MID(B3,4,2)),VALUE(LEFT(B3,2))),"dd.mm.yy")=B3,FALSE)),"Invalid date - use dd.mm.yy",IF(U3="","Missing Arrangement",IF(COUNTIF(Arrangements!$M$3:$M$92,U3)=0,"Unknown Arrangement",IF(SUMPRODUCT((Arrangements!$M$3:$M$92=U3)*(Arrangements!$P$3:$P$92&lt;&gt;"OK"))&gt;0,"Arrangement errors",IF(AND(V3&lt;&gt;"",COUNTIF(Annotations!$B$3:$B$46,V3)=0),"Unknown annotationSet",IF(AND(V3&lt;&gt;"",COUNTIFS(Annotations!$B$3:$B$46,V3,Annotations!$F$3:$F$46,"&lt;&gt;OK")&gt;0),"annotationSet errors",IF(K3=0,"No images",IF(COUNTIF($Y$3:$Y$62,Y3)&gt;1,"Duplicate session - change Name or Time",IF(AND(A3&lt;&gt;"",COUNTIF($A$3:$A$62,A3)&gt;1),"Duplicate Exp start","OK"))))))))))))</f>
        <v>OK</v>
      </c>
      <c r="O3" s="98" t="str">
        <f t="shared" ref="O3:O32" si="1">IF(B3="","",B3&amp;IF(T3&lt;&gt;"","_"&amp;T3,"")&amp;IF(C3&lt;&gt;"","_"&amp;C3,""))</f>
        <v>14.08.26_24h</v>
      </c>
      <c r="P3" s="20" t="s">
        <v>35</v>
      </c>
      <c r="Q3" s="89"/>
      <c r="R3" s="6">
        <f>IF(B3="","",IFERROR(LOOKUP(2,1/($A$3:A3&lt;&gt;""),$A$3:A3),""))</f>
        <v>1</v>
      </c>
      <c r="S3" s="13">
        <f t="shared" ref="S3:S32" si="2">IF(B3="","",IF(IFERROR(TEXT(DATE(2000+VALUE(RIGHT(B3,2)),VALUE(MID(B3,4,2)),VALUE(LEFT(B3,2))),"dd.mm.yy")=B3,FALSE),DATE(2000+VALUE(RIGHT(B3,2)),VALUE(MID(B3,4,2)),VALUE(LEFT(B3,2))),""))</f>
        <v>46248</v>
      </c>
      <c r="T3" s="6" t="str">
        <f>IF(B3="","",IFERROR(LOOKUP(2,1/(($R$3:R3=R3)*($D$3:D3&lt;&gt;"")),$D$3:D3),""))</f>
        <v/>
      </c>
      <c r="U3" s="6" t="str">
        <f>IF(B3="","",IFERROR(LOOKUP(2,1/(($R$3:R3=R3)*($E$3:E3&lt;&gt;"")),$E$3:E3),""))</f>
        <v>Arrangement 1</v>
      </c>
      <c r="V3" s="6" t="str">
        <f>IF(B3="","",IFERROR(LOOKUP(2,1/(($R$3:R3=R3)*($F$3:F3&lt;&gt;"")),$F$3:F3),""))</f>
        <v>annotationSet 1</v>
      </c>
      <c r="W3" s="6" t="str">
        <f>IF(B3="","",IF(IFERROR(LOOKUP(2,1/(($R$3:R3=R3)*($H$3:H3&lt;&gt;"")),$H$3:H3),"growth")="[none]","",IFERROR(LOOKUP(2,1/(($R$3:R3=R3)*($H$3:H3&lt;&gt;"")),$H$3:H3),"growth")))</f>
        <v>growth</v>
      </c>
      <c r="X3" s="6" t="str">
        <f>IF(B3="","",IFERROR(LOOKUP(2,1/(($R$3:R3=R3)*($I$3:I3&lt;&gt;"")),$I$3:I3),".jpg"))</f>
        <v>.jpg</v>
      </c>
      <c r="Y3" s="6" t="str">
        <f t="shared" ref="Y3:Y32" si="3">IF(OR(B3="",R3="",S3=""),"","E"&amp;R3&amp;"_"&amp;B3&amp;IF(T3&lt;&gt;"","_"&amp;T3,"")&amp;IF(C3&lt;&gt;"","_"&amp;C3,""))</f>
        <v>E1_14.08.26_24h</v>
      </c>
      <c r="Z3" t="str">
        <f>IF(B3="","",IF(IFERROR(LOOKUP(2,1/(($R$3:R3=R3)*($G$3:G3&lt;&gt;"")),$G$3:G3),"")="[none]","",IFERROR(LOOKUP(2,1/(($R$3:R3=R3)*($G$3:G3&lt;&gt;"")),$G$3:G3),"")))</f>
        <v/>
      </c>
      <c r="AY3" s="15" t="s">
        <v>36</v>
      </c>
      <c r="AZ3" s="16" t="b">
        <v>0</v>
      </c>
      <c r="BA3" s="16"/>
    </row>
    <row r="4" spans="1:53" ht="13.9" thickBot="1">
      <c r="A4" s="90"/>
      <c r="B4" s="91" t="s">
        <v>37</v>
      </c>
      <c r="C4" s="90" t="s">
        <v>38</v>
      </c>
      <c r="D4" s="90"/>
      <c r="E4" s="90"/>
      <c r="F4" s="90"/>
      <c r="G4" s="89"/>
      <c r="H4" s="90"/>
      <c r="I4" s="90"/>
      <c r="J4" s="92" t="b">
        <v>1</v>
      </c>
      <c r="K4" s="23">
        <f>IF(B4="","",COUNTIF(Arrangements!$M$3:$M$92,U4))</f>
        <v>24</v>
      </c>
      <c r="L4" s="23">
        <f>IF(OR(B4="",N4&lt;&gt;"OK"),"",1+SUMIFS($K$3:K3,$N$3:N3,"OK"))</f>
        <v>25</v>
      </c>
      <c r="M4" s="23">
        <f t="shared" si="0"/>
        <v>48</v>
      </c>
      <c r="N4" s="78" t="str">
        <f>IF(B4="","",IF(J4=FALSE,"Excluded",IF(R4="","Missing Exp",IF(NOT(IFERROR(TEXT(DATE(2000+VALUE(RIGHT(B4,2)),VALUE(MID(B4,4,2)),VALUE(LEFT(B4,2))),"dd.mm.yy")=B4,FALSE)),"Invalid date - use dd.mm.yy",IF(U4="","Missing Arrangement",IF(COUNTIF(Arrangements!$M$3:$M$92,U4)=0,"Unknown Arrangement",IF(SUMPRODUCT((Arrangements!$M$3:$M$92=U4)*(Arrangements!$P$3:$P$92&lt;&gt;"OK"))&gt;0,"Arrangement errors",IF(AND(V4&lt;&gt;"",COUNTIF(Annotations!$B$3:$B$46,V4)=0),"Unknown annotationSet",IF(AND(V4&lt;&gt;"",COUNTIFS(Annotations!$B$3:$B$46,V4,Annotations!$F$3:$F$46,"&lt;&gt;OK")&gt;0),"annotationSet errors",IF(K4=0,"No images",IF(COUNTIF($Y$3:$Y$62,Y4)&gt;1,"Duplicate session - change Name or Time",IF(AND(A4&lt;&gt;"",COUNTIF($A$3:$A$62,A4)&gt;1),"Duplicate Exp start","OK"))))))))))))</f>
        <v>OK</v>
      </c>
      <c r="O4" s="23" t="str">
        <f t="shared" si="1"/>
        <v>15.08.26_48h</v>
      </c>
      <c r="P4" s="9" t="s">
        <v>40</v>
      </c>
      <c r="Q4" s="89"/>
      <c r="R4" s="6">
        <f>IF(B4="","",IFERROR(LOOKUP(2,1/($A$3:A4&lt;&gt;""),$A$3:A4),""))</f>
        <v>1</v>
      </c>
      <c r="S4" s="13">
        <f t="shared" si="2"/>
        <v>46249</v>
      </c>
      <c r="T4" s="6" t="str">
        <f>IF(B4="","",IFERROR(LOOKUP(2,1/(($R$3:R4=R4)*($D$3:D4&lt;&gt;"")),$D$3:D4),""))</f>
        <v/>
      </c>
      <c r="U4" s="6" t="str">
        <f>IF(B4="","",IFERROR(LOOKUP(2,1/(($R$3:R4=R4)*($E$3:E4&lt;&gt;"")),$E$3:E4),""))</f>
        <v>Arrangement 1</v>
      </c>
      <c r="V4" s="6" t="str">
        <f>IF(B4="","",IFERROR(LOOKUP(2,1/(($R$3:R4=R4)*($F$3:F4&lt;&gt;"")),$F$3:F4),""))</f>
        <v>annotationSet 1</v>
      </c>
      <c r="W4" s="6" t="str">
        <f>IF(B4="","",IF(IFERROR(LOOKUP(2,1/(($R$3:R4=R4)*($H$3:H4&lt;&gt;"")),$H$3:H4),"growth")="[none]","",IFERROR(LOOKUP(2,1/(($R$3:R4=R4)*($H$3:H4&lt;&gt;"")),$H$3:H4),"growth")))</f>
        <v>growth</v>
      </c>
      <c r="X4" s="6" t="str">
        <f>IF(B4="","",IFERROR(LOOKUP(2,1/(($R$3:R4=R4)*($I$3:I4&lt;&gt;"")),$I$3:I4),".jpg"))</f>
        <v>.jpg</v>
      </c>
      <c r="Y4" s="6" t="str">
        <f t="shared" si="3"/>
        <v>E1_15.08.26_48h</v>
      </c>
      <c r="Z4" t="str">
        <f>IF(B4="","",IF(IFERROR(LOOKUP(2,1/(($R$3:R4=R4)*($G$3:G4&lt;&gt;"")),$G$3:G4),"")="[none]","",IFERROR(LOOKUP(2,1/(($R$3:R4=R4)*($G$3:G4&lt;&gt;"")),$G$3:G4),"")))</f>
        <v/>
      </c>
      <c r="AY4" s="15" t="s">
        <v>41</v>
      </c>
      <c r="AZ4" s="16" t="b">
        <v>0</v>
      </c>
      <c r="BA4" s="16"/>
    </row>
    <row r="5" spans="1:53" ht="13.9" thickBot="1">
      <c r="A5" s="39">
        <v>2</v>
      </c>
      <c r="B5" s="93" t="s">
        <v>118</v>
      </c>
      <c r="C5" s="39" t="s">
        <v>29</v>
      </c>
      <c r="D5" s="39"/>
      <c r="E5" s="39" t="s">
        <v>42</v>
      </c>
      <c r="F5" s="39" t="s">
        <v>43</v>
      </c>
      <c r="G5" s="101"/>
      <c r="H5" s="39" t="s">
        <v>44</v>
      </c>
      <c r="I5" s="39" t="s">
        <v>34</v>
      </c>
      <c r="J5" s="94" t="b">
        <v>1</v>
      </c>
      <c r="K5" s="22">
        <f>IF(B5="","",COUNTIF(Arrangements!$M$3:$M$92,U5))</f>
        <v>25</v>
      </c>
      <c r="L5" s="22">
        <f>IF(OR(B5="",N5&lt;&gt;"OK"),"",1+SUMIFS($K$3:K4,$N$3:N4,"OK"))</f>
        <v>49</v>
      </c>
      <c r="M5" s="22">
        <f t="shared" si="0"/>
        <v>73</v>
      </c>
      <c r="N5" s="22" t="str">
        <f>IF(B5="","",IF(J5=FALSE,"Excluded",IF(R5="","Missing Exp",IF(NOT(IFERROR(TEXT(DATE(2000+VALUE(RIGHT(B5,2)),VALUE(MID(B5,4,2)),VALUE(LEFT(B5,2))),"dd.mm.yy")=B5,FALSE)),"Invalid date - use dd.mm.yy",IF(U5="","Missing Arrangement",IF(COUNTIF(Arrangements!$M$3:$M$92,U5)=0,"Unknown Arrangement",IF(SUMPRODUCT((Arrangements!$M$3:$M$92=U5)*(Arrangements!$P$3:$P$92&lt;&gt;"OK"))&gt;0,"Arrangement errors",IF(AND(V5&lt;&gt;"",COUNTIF(Annotations!$B$3:$B$46,V5)=0),"Unknown annotationSet",IF(AND(V5&lt;&gt;"",COUNTIFS(Annotations!$B$3:$B$46,V5,Annotations!$F$3:$F$46,"&lt;&gt;OK")&gt;0),"annotationSet errors",IF(K5=0,"No images",IF(COUNTIF($Y$3:$Y$62,Y5)&gt;1,"Duplicate session - change Name or Time",IF(AND(A5&lt;&gt;"",COUNTIF($A$3:$A$62,A5)&gt;1),"Duplicate Exp start","OK"))))))))))))</f>
        <v>OK</v>
      </c>
      <c r="O5" s="100" t="str">
        <f t="shared" si="1"/>
        <v>16.08.26_24h</v>
      </c>
      <c r="P5" s="20" t="s">
        <v>45</v>
      </c>
      <c r="Q5" s="95"/>
      <c r="R5" s="6">
        <f>IF(B5="","",IFERROR(LOOKUP(2,1/($A$3:A5&lt;&gt;""),$A$3:A5),""))</f>
        <v>2</v>
      </c>
      <c r="S5" s="13">
        <f t="shared" si="2"/>
        <v>46250</v>
      </c>
      <c r="T5" s="6" t="str">
        <f>IF(B5="","",IFERROR(LOOKUP(2,1/(($R$3:R5=R5)*($D$3:D5&lt;&gt;"")),$D$3:D5),""))</f>
        <v/>
      </c>
      <c r="U5" s="6" t="str">
        <f>IF(B5="","",IFERROR(LOOKUP(2,1/(($R$3:R5=R5)*($E$3:E5&lt;&gt;"")),$E$3:E5),""))</f>
        <v>Arrangement 2</v>
      </c>
      <c r="V5" s="6" t="str">
        <f>IF(B5="","",IFERROR(LOOKUP(2,1/(($R$3:R5=R5)*($F$3:F5&lt;&gt;"")),$F$3:F5),""))</f>
        <v>annotationSet 2</v>
      </c>
      <c r="W5" s="6" t="str">
        <f>IF(B5="","",IF(IFERROR(LOOKUP(2,1/(($R$3:R5=R5)*($H$3:H5&lt;&gt;"")),$H$3:H5),"growth")="[none]","",IFERROR(LOOKUP(2,1/(($R$3:R5=R5)*($H$3:H5&lt;&gt;"")),$H$3:H5),"growth")))</f>
        <v/>
      </c>
      <c r="X5" s="6" t="str">
        <f>IF(B5="","",IFERROR(LOOKUP(2,1/(($R$3:R5=R5)*($I$3:I5&lt;&gt;"")),$I$3:I5),".jpg"))</f>
        <v>.jpg</v>
      </c>
      <c r="Y5" s="6" t="str">
        <f t="shared" si="3"/>
        <v>E2_16.08.26_24h</v>
      </c>
      <c r="Z5" t="str">
        <f>IF(B5="","",IF(IFERROR(LOOKUP(2,1/(($R$3:R5=R5)*($G$3:G5&lt;&gt;"")),$G$3:G5),"")="[none]","",IFERROR(LOOKUP(2,1/(($R$3:R5=R5)*($G$3:G5&lt;&gt;"")),$G$3:G5),"")))</f>
        <v/>
      </c>
      <c r="AY5" s="15" t="s">
        <v>46</v>
      </c>
      <c r="AZ5" s="15">
        <v>62</v>
      </c>
      <c r="BA5" s="15"/>
    </row>
    <row r="6" spans="1:53" ht="13.9" thickBot="1">
      <c r="A6" s="41"/>
      <c r="B6" s="96" t="s">
        <v>119</v>
      </c>
      <c r="C6" s="41" t="s">
        <v>38</v>
      </c>
      <c r="D6" s="41"/>
      <c r="E6" s="41"/>
      <c r="F6" s="41"/>
      <c r="G6" s="95"/>
      <c r="H6" s="41"/>
      <c r="I6" s="41"/>
      <c r="J6" s="97" t="b">
        <v>1</v>
      </c>
      <c r="K6" s="19">
        <f>IF(B6="","",COUNTIF(Arrangements!$M$3:$M$92,U6))</f>
        <v>25</v>
      </c>
      <c r="L6" s="19">
        <f>IF(OR(B6="",N6&lt;&gt;"OK"),"",1+SUMIFS($K$3:K5,$N$3:N5,"OK"))</f>
        <v>74</v>
      </c>
      <c r="M6" s="19">
        <f t="shared" si="0"/>
        <v>98</v>
      </c>
      <c r="N6" s="22" t="str">
        <f>IF(B6="","",IF(J6=FALSE,"Excluded",IF(R6="","Missing Exp",IF(NOT(IFERROR(TEXT(DATE(2000+VALUE(RIGHT(B6,2)),VALUE(MID(B6,4,2)),VALUE(LEFT(B6,2))),"dd.mm.yy")=B6,FALSE)),"Invalid date - use dd.mm.yy",IF(U6="","Missing Arrangement",IF(COUNTIF(Arrangements!$M$3:$M$92,U6)=0,"Unknown Arrangement",IF(SUMPRODUCT((Arrangements!$M$3:$M$92=U6)*(Arrangements!$P$3:$P$92&lt;&gt;"OK"))&gt;0,"Arrangement errors",IF(AND(V6&lt;&gt;"",COUNTIF(Annotations!$B$3:$B$46,V6)=0),"Unknown annotationSet",IF(AND(V6&lt;&gt;"",COUNTIFS(Annotations!$B$3:$B$46,V6,Annotations!$F$3:$F$46,"&lt;&gt;OK")&gt;0),"annotationSet errors",IF(K6=0,"No images",IF(COUNTIF($Y$3:$Y$62,Y6)&gt;1,"Duplicate session - change Name or Time",IF(AND(A6&lt;&gt;"",COUNTIF($A$3:$A$62,A6)&gt;1),"Duplicate Exp start","OK"))))))))))))</f>
        <v>OK</v>
      </c>
      <c r="O6" s="19" t="str">
        <f t="shared" si="1"/>
        <v>17.08.26_48h</v>
      </c>
      <c r="P6" s="9" t="s">
        <v>47</v>
      </c>
      <c r="Q6" s="95"/>
      <c r="R6" s="6">
        <f>IF(B6="","",IFERROR(LOOKUP(2,1/($A$3:A6&lt;&gt;""),$A$3:A6),""))</f>
        <v>2</v>
      </c>
      <c r="S6" s="13">
        <f t="shared" si="2"/>
        <v>46251</v>
      </c>
      <c r="T6" s="6" t="str">
        <f>IF(B6="","",IFERROR(LOOKUP(2,1/(($R$3:R6=R6)*($D$3:D6&lt;&gt;"")),$D$3:D6),""))</f>
        <v/>
      </c>
      <c r="U6" s="6" t="str">
        <f>IF(B6="","",IFERROR(LOOKUP(2,1/(($R$3:R6=R6)*($E$3:E6&lt;&gt;"")),$E$3:E6),""))</f>
        <v>Arrangement 2</v>
      </c>
      <c r="V6" s="6" t="str">
        <f>IF(B6="","",IFERROR(LOOKUP(2,1/(($R$3:R6=R6)*($F$3:F6&lt;&gt;"")),$F$3:F6),""))</f>
        <v>annotationSet 2</v>
      </c>
      <c r="W6" s="6" t="str">
        <f>IF(B6="","",IF(IFERROR(LOOKUP(2,1/(($R$3:R6=R6)*($H$3:H6&lt;&gt;"")),$H$3:H6),"growth")="[none]","",IFERROR(LOOKUP(2,1/(($R$3:R6=R6)*($H$3:H6&lt;&gt;"")),$H$3:H6),"growth")))</f>
        <v/>
      </c>
      <c r="X6" s="6" t="str">
        <f>IF(B6="","",IFERROR(LOOKUP(2,1/(($R$3:R6=R6)*($I$3:I6&lt;&gt;"")),$I$3:I6),".jpg"))</f>
        <v>.jpg</v>
      </c>
      <c r="Y6" s="6" t="str">
        <f t="shared" si="3"/>
        <v>E2_17.08.26_48h</v>
      </c>
      <c r="Z6" t="str">
        <f>IF(B6="","",IF(IFERROR(LOOKUP(2,1/(($R$3:R6=R6)*($G$3:G6&lt;&gt;"")),$G$3:G6),"")="[none]","",IFERROR(LOOKUP(2,1/(($R$3:R6=R6)*($G$3:G6&lt;&gt;"")),$G$3:G6),"")))</f>
        <v/>
      </c>
    </row>
    <row r="7" spans="1:53" ht="13.9" thickBot="1">
      <c r="A7" s="113"/>
      <c r="B7" s="114"/>
      <c r="C7" s="113"/>
      <c r="D7" s="113"/>
      <c r="E7" s="113"/>
      <c r="F7" s="113"/>
      <c r="G7" s="83"/>
      <c r="H7" s="113"/>
      <c r="I7" s="113"/>
      <c r="J7" s="113"/>
      <c r="K7" s="5" t="str">
        <f>IF(B7="","",COUNTIF(Arrangements!$M$3:$M$92,U7))</f>
        <v/>
      </c>
      <c r="L7" s="5" t="str">
        <f>IF(OR(B7="",N7&lt;&gt;"OK"),"",1+SUMIFS($K$3:K6,$N$3:N6,"OK"))</f>
        <v/>
      </c>
      <c r="M7" s="5" t="str">
        <f t="shared" si="0"/>
        <v/>
      </c>
      <c r="N7" s="22" t="str">
        <f>IF(B7="","",IF(J7=FALSE,"Excluded",IF(R7="","Missing Exp",IF(NOT(IFERROR(TEXT(DATE(2000+VALUE(RIGHT(B7,2)),VALUE(MID(B7,4,2)),VALUE(LEFT(B7,2))),"dd.mm.yy")=B7,FALSE)),"Invalid date - use dd.mm.yy",IF(U7="","Missing Arrangement",IF(COUNTIF(Arrangements!$M$3:$M$92,U7)=0,"Unknown Arrangement",IF(SUMPRODUCT((Arrangements!$M$3:$M$92=U7)*(Arrangements!$P$3:$P$92&lt;&gt;"OK"))&gt;0,"Arrangement errors",IF(AND(V7&lt;&gt;"",COUNTIF(Annotations!$B$3:$B$46,V7)=0),"Unknown annotationSet",IF(AND(V7&lt;&gt;"",COUNTIFS(Annotations!$B$3:$B$46,V7,Annotations!$F$3:$F$46,"&lt;&gt;OK")&gt;0),"annotationSet errors",IF(K7=0,"No images",IF(COUNTIF($Y$3:$Y$62,Y7)&gt;1,"Duplicate session - change Name or Time",IF(AND(A7&lt;&gt;"",COUNTIF($A$3:$A$62,A7)&gt;1),"Duplicate Exp start","OK"))))))))))))</f>
        <v/>
      </c>
      <c r="O7" s="5" t="str">
        <f t="shared" si="1"/>
        <v/>
      </c>
      <c r="P7" s="9"/>
      <c r="Q7" s="83"/>
      <c r="R7" s="6" t="str">
        <f>IF(B7="","",IFERROR(LOOKUP(2,1/($A$3:A7&lt;&gt;""),$A$3:A7),""))</f>
        <v/>
      </c>
      <c r="S7" s="13" t="str">
        <f t="shared" si="2"/>
        <v/>
      </c>
      <c r="T7" s="6" t="str">
        <f>IF(B7="","",IFERROR(LOOKUP(2,1/(($R$3:R7=R7)*($D$3:D7&lt;&gt;"")),$D$3:D7),""))</f>
        <v/>
      </c>
      <c r="U7" s="6" t="str">
        <f>IF(B7="","",IFERROR(LOOKUP(2,1/(($R$3:R7=R7)*($E$3:E7&lt;&gt;"")),$E$3:E7),""))</f>
        <v/>
      </c>
      <c r="V7" s="6" t="str">
        <f>IF(B7="","",IFERROR(LOOKUP(2,1/(($R$3:R7=R7)*($F$3:F7&lt;&gt;"")),$F$3:F7),""))</f>
        <v/>
      </c>
      <c r="W7" s="6" t="str">
        <f>IF(B7="","",IF(IFERROR(LOOKUP(2,1/(($R$3:R7=R7)*($H$3:H7&lt;&gt;"")),$H$3:H7),"growth")="[none]","",IFERROR(LOOKUP(2,1/(($R$3:R7=R7)*($H$3:H7&lt;&gt;"")),$H$3:H7),"growth")))</f>
        <v/>
      </c>
      <c r="X7" s="6" t="str">
        <f>IF(B7="","",IFERROR(LOOKUP(2,1/(($R$3:R7=R7)*($I$3:I7&lt;&gt;"")),$I$3:I7),".jpg"))</f>
        <v/>
      </c>
      <c r="Y7" s="6" t="str">
        <f t="shared" si="3"/>
        <v/>
      </c>
      <c r="Z7" t="str">
        <f>IF(B7="","",IF(IFERROR(LOOKUP(2,1/(($R$3:R7=R7)*($G$3:G7&lt;&gt;"")),$G$3:G7),"")="[none]","",IFERROR(LOOKUP(2,1/(($R$3:R7=R7)*($G$3:G7&lt;&gt;"")),$G$3:G7),"")))</f>
        <v/>
      </c>
    </row>
    <row r="8" spans="1:53" ht="13.9" thickBot="1">
      <c r="A8" s="113"/>
      <c r="B8" s="114"/>
      <c r="C8" s="113"/>
      <c r="D8" s="113"/>
      <c r="E8" s="113"/>
      <c r="F8" s="113"/>
      <c r="G8" s="83"/>
      <c r="H8" s="113"/>
      <c r="I8" s="113"/>
      <c r="J8" s="113"/>
      <c r="K8" s="5" t="str">
        <f>IF(B8="","",COUNTIF(Arrangements!$M$3:$M$92,U8))</f>
        <v/>
      </c>
      <c r="L8" s="5" t="str">
        <f>IF(OR(B8="",N8&lt;&gt;"OK"),"",1+SUMIFS($K$3:K7,$N$3:N7,"OK"))</f>
        <v/>
      </c>
      <c r="M8" s="5" t="str">
        <f t="shared" si="0"/>
        <v/>
      </c>
      <c r="N8" s="22" t="str">
        <f>IF(B8="","",IF(J8=FALSE,"Excluded",IF(R8="","Missing Exp",IF(NOT(IFERROR(TEXT(DATE(2000+VALUE(RIGHT(B8,2)),VALUE(MID(B8,4,2)),VALUE(LEFT(B8,2))),"dd.mm.yy")=B8,FALSE)),"Invalid date - use dd.mm.yy",IF(U8="","Missing Arrangement",IF(COUNTIF(Arrangements!$M$3:$M$92,U8)=0,"Unknown Arrangement",IF(SUMPRODUCT((Arrangements!$M$3:$M$92=U8)*(Arrangements!$P$3:$P$92&lt;&gt;"OK"))&gt;0,"Arrangement errors",IF(AND(V8&lt;&gt;"",COUNTIF(Annotations!$B$3:$B$46,V8)=0),"Unknown annotationSet",IF(AND(V8&lt;&gt;"",COUNTIFS(Annotations!$B$3:$B$46,V8,Annotations!$F$3:$F$46,"&lt;&gt;OK")&gt;0),"annotationSet errors",IF(K8=0,"No images",IF(COUNTIF($Y$3:$Y$62,Y8)&gt;1,"Duplicate session - change Name or Time",IF(AND(A8&lt;&gt;"",COUNTIF($A$3:$A$62,A8)&gt;1),"Duplicate Exp start","OK"))))))))))))</f>
        <v/>
      </c>
      <c r="O8" s="5" t="str">
        <f t="shared" si="1"/>
        <v/>
      </c>
      <c r="P8" s="9"/>
      <c r="Q8" s="83"/>
      <c r="R8" s="6" t="str">
        <f>IF(B8="","",IFERROR(LOOKUP(2,1/($A$3:A8&lt;&gt;""),$A$3:A8),""))</f>
        <v/>
      </c>
      <c r="S8" s="13" t="str">
        <f t="shared" si="2"/>
        <v/>
      </c>
      <c r="T8" s="6" t="str">
        <f>IF(B8="","",IFERROR(LOOKUP(2,1/(($R$3:R8=R8)*($D$3:D8&lt;&gt;"")),$D$3:D8),""))</f>
        <v/>
      </c>
      <c r="U8" s="6" t="str">
        <f>IF(B8="","",IFERROR(LOOKUP(2,1/(($R$3:R8=R8)*($E$3:E8&lt;&gt;"")),$E$3:E8),""))</f>
        <v/>
      </c>
      <c r="V8" s="6" t="str">
        <f>IF(B8="","",IFERROR(LOOKUP(2,1/(($R$3:R8=R8)*($F$3:F8&lt;&gt;"")),$F$3:F8),""))</f>
        <v/>
      </c>
      <c r="W8" s="6" t="str">
        <f>IF(B8="","",IF(IFERROR(LOOKUP(2,1/(($R$3:R8=R8)*($H$3:H8&lt;&gt;"")),$H$3:H8),"growth")="[none]","",IFERROR(LOOKUP(2,1/(($R$3:R8=R8)*($H$3:H8&lt;&gt;"")),$H$3:H8),"growth")))</f>
        <v/>
      </c>
      <c r="X8" s="6" t="str">
        <f>IF(B8="","",IFERROR(LOOKUP(2,1/(($R$3:R8=R8)*($I$3:I8&lt;&gt;"")),$I$3:I8),".jpg"))</f>
        <v/>
      </c>
      <c r="Y8" s="6" t="str">
        <f t="shared" si="3"/>
        <v/>
      </c>
      <c r="Z8" t="str">
        <f>IF(B8="","",IF(IFERROR(LOOKUP(2,1/(($R$3:R8=R8)*($G$3:G8&lt;&gt;"")),$G$3:G8),"")="[none]","",IFERROR(LOOKUP(2,1/(($R$3:R8=R8)*($G$3:G8&lt;&gt;"")),$G$3:G8),"")))</f>
        <v/>
      </c>
    </row>
    <row r="9" spans="1:53" ht="13.9" thickBot="1">
      <c r="A9" s="113"/>
      <c r="B9" s="114"/>
      <c r="C9" s="113"/>
      <c r="D9" s="113"/>
      <c r="E9" s="113"/>
      <c r="F9" s="113"/>
      <c r="G9" s="83"/>
      <c r="H9" s="113"/>
      <c r="I9" s="113"/>
      <c r="J9" s="113"/>
      <c r="K9" s="5" t="str">
        <f>IF(B9="","",COUNTIF(Arrangements!$M$3:$M$92,U9))</f>
        <v/>
      </c>
      <c r="L9" s="5" t="str">
        <f>IF(OR(B9="",N9&lt;&gt;"OK"),"",1+SUMIFS($K$3:K8,$N$3:N8,"OK"))</f>
        <v/>
      </c>
      <c r="M9" s="5" t="str">
        <f t="shared" si="0"/>
        <v/>
      </c>
      <c r="N9" s="22" t="str">
        <f>IF(B9="","",IF(J9=FALSE,"Excluded",IF(R9="","Missing Exp",IF(NOT(IFERROR(TEXT(DATE(2000+VALUE(RIGHT(B9,2)),VALUE(MID(B9,4,2)),VALUE(LEFT(B9,2))),"dd.mm.yy")=B9,FALSE)),"Invalid date - use dd.mm.yy",IF(U9="","Missing Arrangement",IF(COUNTIF(Arrangements!$M$3:$M$92,U9)=0,"Unknown Arrangement",IF(SUMPRODUCT((Arrangements!$M$3:$M$92=U9)*(Arrangements!$P$3:$P$92&lt;&gt;"OK"))&gt;0,"Arrangement errors",IF(AND(V9&lt;&gt;"",COUNTIF(Annotations!$B$3:$B$46,V9)=0),"Unknown annotationSet",IF(AND(V9&lt;&gt;"",COUNTIFS(Annotations!$B$3:$B$46,V9,Annotations!$F$3:$F$46,"&lt;&gt;OK")&gt;0),"annotationSet errors",IF(K9=0,"No images",IF(COUNTIF($Y$3:$Y$62,Y9)&gt;1,"Duplicate session - change Name or Time",IF(AND(A9&lt;&gt;"",COUNTIF($A$3:$A$62,A9)&gt;1),"Duplicate Exp start","OK"))))))))))))</f>
        <v/>
      </c>
      <c r="O9" s="5" t="str">
        <f t="shared" si="1"/>
        <v/>
      </c>
      <c r="P9" s="9"/>
      <c r="Q9" s="83"/>
      <c r="R9" s="6" t="str">
        <f>IF(B9="","",IFERROR(LOOKUP(2,1/($A$3:A9&lt;&gt;""),$A$3:A9),""))</f>
        <v/>
      </c>
      <c r="S9" s="13" t="str">
        <f t="shared" si="2"/>
        <v/>
      </c>
      <c r="T9" s="6" t="str">
        <f>IF(B9="","",IFERROR(LOOKUP(2,1/(($R$3:R9=R9)*($D$3:D9&lt;&gt;"")),$D$3:D9),""))</f>
        <v/>
      </c>
      <c r="U9" s="6" t="str">
        <f>IF(B9="","",IFERROR(LOOKUP(2,1/(($R$3:R9=R9)*($E$3:E9&lt;&gt;"")),$E$3:E9),""))</f>
        <v/>
      </c>
      <c r="V9" s="6" t="str">
        <f>IF(B9="","",IFERROR(LOOKUP(2,1/(($R$3:R9=R9)*($F$3:F9&lt;&gt;"")),$F$3:F9),""))</f>
        <v/>
      </c>
      <c r="W9" s="6" t="str">
        <f>IF(B9="","",IF(IFERROR(LOOKUP(2,1/(($R$3:R9=R9)*($H$3:H9&lt;&gt;"")),$H$3:H9),"growth")="[none]","",IFERROR(LOOKUP(2,1/(($R$3:R9=R9)*($H$3:H9&lt;&gt;"")),$H$3:H9),"growth")))</f>
        <v/>
      </c>
      <c r="X9" s="6" t="str">
        <f>IF(B9="","",IFERROR(LOOKUP(2,1/(($R$3:R9=R9)*($I$3:I9&lt;&gt;"")),$I$3:I9),".jpg"))</f>
        <v/>
      </c>
      <c r="Y9" s="6" t="str">
        <f t="shared" si="3"/>
        <v/>
      </c>
      <c r="Z9" t="str">
        <f>IF(B9="","",IF(IFERROR(LOOKUP(2,1/(($R$3:R9=R9)*($G$3:G9&lt;&gt;"")),$G$3:G9),"")="[none]","",IFERROR(LOOKUP(2,1/(($R$3:R9=R9)*($G$3:G9&lt;&gt;"")),$G$3:G9),"")))</f>
        <v/>
      </c>
    </row>
    <row r="10" spans="1:53" ht="13.9" thickBot="1">
      <c r="A10" s="113"/>
      <c r="B10" s="114"/>
      <c r="C10" s="113"/>
      <c r="D10" s="113"/>
      <c r="E10" s="113"/>
      <c r="F10" s="113"/>
      <c r="G10" s="83"/>
      <c r="H10" s="113"/>
      <c r="I10" s="113"/>
      <c r="J10" s="113"/>
      <c r="K10" s="5" t="str">
        <f>IF(B10="","",COUNTIF(Arrangements!$M$3:$M$92,U10))</f>
        <v/>
      </c>
      <c r="L10" s="5" t="str">
        <f>IF(OR(B10="",N10&lt;&gt;"OK"),"",1+SUMIFS($K$3:K9,$N$3:N9,"OK"))</f>
        <v/>
      </c>
      <c r="M10" s="5" t="str">
        <f t="shared" si="0"/>
        <v/>
      </c>
      <c r="N10" s="22" t="str">
        <f>IF(B10="","",IF(J10=FALSE,"Excluded",IF(R10="","Missing Exp",IF(NOT(IFERROR(TEXT(DATE(2000+VALUE(RIGHT(B10,2)),VALUE(MID(B10,4,2)),VALUE(LEFT(B10,2))),"dd.mm.yy")=B10,FALSE)),"Invalid date - use dd.mm.yy",IF(U10="","Missing Arrangement",IF(COUNTIF(Arrangements!$M$3:$M$92,U10)=0,"Unknown Arrangement",IF(SUMPRODUCT((Arrangements!$M$3:$M$92=U10)*(Arrangements!$P$3:$P$92&lt;&gt;"OK"))&gt;0,"Arrangement errors",IF(AND(V10&lt;&gt;"",COUNTIF(Annotations!$B$3:$B$46,V10)=0),"Unknown annotationSet",IF(AND(V10&lt;&gt;"",COUNTIFS(Annotations!$B$3:$B$46,V10,Annotations!$F$3:$F$46,"&lt;&gt;OK")&gt;0),"annotationSet errors",IF(K10=0,"No images",IF(COUNTIF($Y$3:$Y$62,Y10)&gt;1,"Duplicate session - change Name or Time",IF(AND(A10&lt;&gt;"",COUNTIF($A$3:$A$62,A10)&gt;1),"Duplicate Exp start","OK"))))))))))))</f>
        <v/>
      </c>
      <c r="O10" s="5" t="str">
        <f t="shared" si="1"/>
        <v/>
      </c>
      <c r="P10" s="9"/>
      <c r="Q10" s="83"/>
      <c r="R10" s="6" t="str">
        <f>IF(B10="","",IFERROR(LOOKUP(2,1/($A$3:A10&lt;&gt;""),$A$3:A10),""))</f>
        <v/>
      </c>
      <c r="S10" s="13" t="str">
        <f t="shared" si="2"/>
        <v/>
      </c>
      <c r="T10" s="6" t="str">
        <f>IF(B10="","",IFERROR(LOOKUP(2,1/(($R$3:R10=R10)*($D$3:D10&lt;&gt;"")),$D$3:D10),""))</f>
        <v/>
      </c>
      <c r="U10" s="6" t="str">
        <f>IF(B10="","",IFERROR(LOOKUP(2,1/(($R$3:R10=R10)*($E$3:E10&lt;&gt;"")),$E$3:E10),""))</f>
        <v/>
      </c>
      <c r="V10" s="6" t="str">
        <f>IF(B10="","",IFERROR(LOOKUP(2,1/(($R$3:R10=R10)*($F$3:F10&lt;&gt;"")),$F$3:F10),""))</f>
        <v/>
      </c>
      <c r="W10" s="6" t="str">
        <f>IF(B10="","",IF(IFERROR(LOOKUP(2,1/(($R$3:R10=R10)*($H$3:H10&lt;&gt;"")),$H$3:H10),"growth")="[none]","",IFERROR(LOOKUP(2,1/(($R$3:R10=R10)*($H$3:H10&lt;&gt;"")),$H$3:H10),"growth")))</f>
        <v/>
      </c>
      <c r="X10" s="6" t="str">
        <f>IF(B10="","",IFERROR(LOOKUP(2,1/(($R$3:R10=R10)*($I$3:I10&lt;&gt;"")),$I$3:I10),".jpg"))</f>
        <v/>
      </c>
      <c r="Y10" s="6" t="str">
        <f t="shared" si="3"/>
        <v/>
      </c>
      <c r="Z10" t="str">
        <f>IF(B10="","",IF(IFERROR(LOOKUP(2,1/(($R$3:R10=R10)*($G$3:G10&lt;&gt;"")),$G$3:G10),"")="[none]","",IFERROR(LOOKUP(2,1/(($R$3:R10=R10)*($G$3:G10&lt;&gt;"")),$G$3:G10),"")))</f>
        <v/>
      </c>
    </row>
    <row r="11" spans="1:53" ht="13.9" thickBot="1">
      <c r="A11" s="113"/>
      <c r="B11" s="114"/>
      <c r="C11" s="113"/>
      <c r="D11" s="113"/>
      <c r="E11" s="113"/>
      <c r="F11" s="113"/>
      <c r="G11" s="83"/>
      <c r="H11" s="113"/>
      <c r="I11" s="113"/>
      <c r="J11" s="113"/>
      <c r="K11" s="5" t="str">
        <f>IF(B11="","",COUNTIF(Arrangements!$M$3:$M$92,U11))</f>
        <v/>
      </c>
      <c r="L11" s="5" t="str">
        <f>IF(OR(B11="",N11&lt;&gt;"OK"),"",1+SUMIFS($K$3:K10,$N$3:N10,"OK"))</f>
        <v/>
      </c>
      <c r="M11" s="5" t="str">
        <f t="shared" si="0"/>
        <v/>
      </c>
      <c r="N11" s="22" t="str">
        <f>IF(B11="","",IF(J11=FALSE,"Excluded",IF(R11="","Missing Exp",IF(NOT(IFERROR(TEXT(DATE(2000+VALUE(RIGHT(B11,2)),VALUE(MID(B11,4,2)),VALUE(LEFT(B11,2))),"dd.mm.yy")=B11,FALSE)),"Invalid date - use dd.mm.yy",IF(U11="","Missing Arrangement",IF(COUNTIF(Arrangements!$M$3:$M$92,U11)=0,"Unknown Arrangement",IF(SUMPRODUCT((Arrangements!$M$3:$M$92=U11)*(Arrangements!$P$3:$P$92&lt;&gt;"OK"))&gt;0,"Arrangement errors",IF(AND(V11&lt;&gt;"",COUNTIF(Annotations!$B$3:$B$46,V11)=0),"Unknown annotationSet",IF(AND(V11&lt;&gt;"",COUNTIFS(Annotations!$B$3:$B$46,V11,Annotations!$F$3:$F$46,"&lt;&gt;OK")&gt;0),"annotationSet errors",IF(K11=0,"No images",IF(COUNTIF($Y$3:$Y$62,Y11)&gt;1,"Duplicate session - change Name or Time",IF(AND(A11&lt;&gt;"",COUNTIF($A$3:$A$62,A11)&gt;1),"Duplicate Exp start","OK"))))))))))))</f>
        <v/>
      </c>
      <c r="O11" s="5" t="str">
        <f t="shared" si="1"/>
        <v/>
      </c>
      <c r="P11" s="9"/>
      <c r="Q11" s="83"/>
      <c r="R11" s="6" t="str">
        <f>IF(B11="","",IFERROR(LOOKUP(2,1/($A$3:A11&lt;&gt;""),$A$3:A11),""))</f>
        <v/>
      </c>
      <c r="S11" s="13" t="str">
        <f t="shared" si="2"/>
        <v/>
      </c>
      <c r="T11" s="6" t="str">
        <f>IF(B11="","",IFERROR(LOOKUP(2,1/(($R$3:R11=R11)*($D$3:D11&lt;&gt;"")),$D$3:D11),""))</f>
        <v/>
      </c>
      <c r="U11" s="6" t="str">
        <f>IF(B11="","",IFERROR(LOOKUP(2,1/(($R$3:R11=R11)*($E$3:E11&lt;&gt;"")),$E$3:E11),""))</f>
        <v/>
      </c>
      <c r="V11" s="6" t="str">
        <f>IF(B11="","",IFERROR(LOOKUP(2,1/(($R$3:R11=R11)*($F$3:F11&lt;&gt;"")),$F$3:F11),""))</f>
        <v/>
      </c>
      <c r="W11" s="6" t="str">
        <f>IF(B11="","",IF(IFERROR(LOOKUP(2,1/(($R$3:R11=R11)*($H$3:H11&lt;&gt;"")),$H$3:H11),"growth")="[none]","",IFERROR(LOOKUP(2,1/(($R$3:R11=R11)*($H$3:H11&lt;&gt;"")),$H$3:H11),"growth")))</f>
        <v/>
      </c>
      <c r="X11" s="6" t="str">
        <f>IF(B11="","",IFERROR(LOOKUP(2,1/(($R$3:R11=R11)*($I$3:I11&lt;&gt;"")),$I$3:I11),".jpg"))</f>
        <v/>
      </c>
      <c r="Y11" s="6" t="str">
        <f t="shared" si="3"/>
        <v/>
      </c>
      <c r="Z11" t="str">
        <f>IF(B11="","",IF(IFERROR(LOOKUP(2,1/(($R$3:R11=R11)*($G$3:G11&lt;&gt;"")),$G$3:G11),"")="[none]","",IFERROR(LOOKUP(2,1/(($R$3:R11=R11)*($G$3:G11&lt;&gt;"")),$G$3:G11),"")))</f>
        <v/>
      </c>
    </row>
    <row r="12" spans="1:53" ht="13.9" thickBot="1">
      <c r="A12" s="113"/>
      <c r="B12" s="114"/>
      <c r="C12" s="113"/>
      <c r="D12" s="113"/>
      <c r="E12" s="113"/>
      <c r="F12" s="113"/>
      <c r="G12" s="83"/>
      <c r="H12" s="113"/>
      <c r="I12" s="113"/>
      <c r="J12" s="113"/>
      <c r="K12" s="5" t="str">
        <f>IF(B12="","",COUNTIF(Arrangements!$M$3:$M$92,U12))</f>
        <v/>
      </c>
      <c r="L12" s="5" t="str">
        <f>IF(OR(B12="",N12&lt;&gt;"OK"),"",1+SUMIFS($K$3:K11,$N$3:N11,"OK"))</f>
        <v/>
      </c>
      <c r="M12" s="5" t="str">
        <f t="shared" si="0"/>
        <v/>
      </c>
      <c r="N12" s="22" t="str">
        <f>IF(B12="","",IF(J12=FALSE,"Excluded",IF(R12="","Missing Exp",IF(NOT(IFERROR(TEXT(DATE(2000+VALUE(RIGHT(B12,2)),VALUE(MID(B12,4,2)),VALUE(LEFT(B12,2))),"dd.mm.yy")=B12,FALSE)),"Invalid date - use dd.mm.yy",IF(U12="","Missing Arrangement",IF(COUNTIF(Arrangements!$M$3:$M$92,U12)=0,"Unknown Arrangement",IF(SUMPRODUCT((Arrangements!$M$3:$M$92=U12)*(Arrangements!$P$3:$P$92&lt;&gt;"OK"))&gt;0,"Arrangement errors",IF(AND(V12&lt;&gt;"",COUNTIF(Annotations!$B$3:$B$46,V12)=0),"Unknown annotationSet",IF(AND(V12&lt;&gt;"",COUNTIFS(Annotations!$B$3:$B$46,V12,Annotations!$F$3:$F$46,"&lt;&gt;OK")&gt;0),"annotationSet errors",IF(K12=0,"No images",IF(COUNTIF($Y$3:$Y$62,Y12)&gt;1,"Duplicate session - change Name or Time",IF(AND(A12&lt;&gt;"",COUNTIF($A$3:$A$62,A12)&gt;1),"Duplicate Exp start","OK"))))))))))))</f>
        <v/>
      </c>
      <c r="O12" s="5" t="str">
        <f t="shared" si="1"/>
        <v/>
      </c>
      <c r="P12" s="9"/>
      <c r="Q12" s="83"/>
      <c r="R12" s="6" t="str">
        <f>IF(B12="","",IFERROR(LOOKUP(2,1/($A$3:A12&lt;&gt;""),$A$3:A12),""))</f>
        <v/>
      </c>
      <c r="S12" s="13" t="str">
        <f t="shared" si="2"/>
        <v/>
      </c>
      <c r="T12" s="6" t="str">
        <f>IF(B12="","",IFERROR(LOOKUP(2,1/(($R$3:R12=R12)*($D$3:D12&lt;&gt;"")),$D$3:D12),""))</f>
        <v/>
      </c>
      <c r="U12" s="6" t="str">
        <f>IF(B12="","",IFERROR(LOOKUP(2,1/(($R$3:R12=R12)*($E$3:E12&lt;&gt;"")),$E$3:E12),""))</f>
        <v/>
      </c>
      <c r="V12" s="6" t="str">
        <f>IF(B12="","",IFERROR(LOOKUP(2,1/(($R$3:R12=R12)*($F$3:F12&lt;&gt;"")),$F$3:F12),""))</f>
        <v/>
      </c>
      <c r="W12" s="6" t="str">
        <f>IF(B12="","",IF(IFERROR(LOOKUP(2,1/(($R$3:R12=R12)*($H$3:H12&lt;&gt;"")),$H$3:H12),"growth")="[none]","",IFERROR(LOOKUP(2,1/(($R$3:R12=R12)*($H$3:H12&lt;&gt;"")),$H$3:H12),"growth")))</f>
        <v/>
      </c>
      <c r="X12" s="6" t="str">
        <f>IF(B12="","",IFERROR(LOOKUP(2,1/(($R$3:R12=R12)*($I$3:I12&lt;&gt;"")),$I$3:I12),".jpg"))</f>
        <v/>
      </c>
      <c r="Y12" s="6" t="str">
        <f t="shared" si="3"/>
        <v/>
      </c>
      <c r="Z12" t="str">
        <f>IF(B12="","",IF(IFERROR(LOOKUP(2,1/(($R$3:R12=R12)*($G$3:G12&lt;&gt;"")),$G$3:G12),"")="[none]","",IFERROR(LOOKUP(2,1/(($R$3:R12=R12)*($G$3:G12&lt;&gt;"")),$G$3:G12),"")))</f>
        <v/>
      </c>
    </row>
    <row r="13" spans="1:53" ht="13.9" thickBot="1">
      <c r="A13" s="113"/>
      <c r="B13" s="114"/>
      <c r="C13" s="113"/>
      <c r="D13" s="113"/>
      <c r="E13" s="113"/>
      <c r="F13" s="113"/>
      <c r="G13" s="83"/>
      <c r="H13" s="113"/>
      <c r="I13" s="113"/>
      <c r="J13" s="113"/>
      <c r="K13" s="5" t="str">
        <f>IF(B13="","",COUNTIF(Arrangements!$M$3:$M$92,U13))</f>
        <v/>
      </c>
      <c r="L13" s="5" t="str">
        <f>IF(OR(B13="",N13&lt;&gt;"OK"),"",1+SUMIFS($K$3:K12,$N$3:N12,"OK"))</f>
        <v/>
      </c>
      <c r="M13" s="5" t="str">
        <f t="shared" si="0"/>
        <v/>
      </c>
      <c r="N13" s="22" t="str">
        <f>IF(B13="","",IF(J13=FALSE,"Excluded",IF(R13="","Missing Exp",IF(NOT(IFERROR(TEXT(DATE(2000+VALUE(RIGHT(B13,2)),VALUE(MID(B13,4,2)),VALUE(LEFT(B13,2))),"dd.mm.yy")=B13,FALSE)),"Invalid date - use dd.mm.yy",IF(U13="","Missing Arrangement",IF(COUNTIF(Arrangements!$M$3:$M$92,U13)=0,"Unknown Arrangement",IF(SUMPRODUCT((Arrangements!$M$3:$M$92=U13)*(Arrangements!$P$3:$P$92&lt;&gt;"OK"))&gt;0,"Arrangement errors",IF(AND(V13&lt;&gt;"",COUNTIF(Annotations!$B$3:$B$46,V13)=0),"Unknown annotationSet",IF(AND(V13&lt;&gt;"",COUNTIFS(Annotations!$B$3:$B$46,V13,Annotations!$F$3:$F$46,"&lt;&gt;OK")&gt;0),"annotationSet errors",IF(K13=0,"No images",IF(COUNTIF($Y$3:$Y$62,Y13)&gt;1,"Duplicate session - change Name or Time",IF(AND(A13&lt;&gt;"",COUNTIF($A$3:$A$62,A13)&gt;1),"Duplicate Exp start","OK"))))))))))))</f>
        <v/>
      </c>
      <c r="O13" s="5" t="str">
        <f t="shared" si="1"/>
        <v/>
      </c>
      <c r="P13" s="9"/>
      <c r="Q13" s="83"/>
      <c r="R13" s="6" t="str">
        <f>IF(B13="","",IFERROR(LOOKUP(2,1/($A$3:A13&lt;&gt;""),$A$3:A13),""))</f>
        <v/>
      </c>
      <c r="S13" s="13" t="str">
        <f t="shared" si="2"/>
        <v/>
      </c>
      <c r="T13" s="6" t="str">
        <f>IF(B13="","",IFERROR(LOOKUP(2,1/(($R$3:R13=R13)*($D$3:D13&lt;&gt;"")),$D$3:D13),""))</f>
        <v/>
      </c>
      <c r="U13" s="6" t="str">
        <f>IF(B13="","",IFERROR(LOOKUP(2,1/(($R$3:R13=R13)*($E$3:E13&lt;&gt;"")),$E$3:E13),""))</f>
        <v/>
      </c>
      <c r="V13" s="6" t="str">
        <f>IF(B13="","",IFERROR(LOOKUP(2,1/(($R$3:R13=R13)*($F$3:F13&lt;&gt;"")),$F$3:F13),""))</f>
        <v/>
      </c>
      <c r="W13" s="6" t="str">
        <f>IF(B13="","",IF(IFERROR(LOOKUP(2,1/(($R$3:R13=R13)*($H$3:H13&lt;&gt;"")),$H$3:H13),"growth")="[none]","",IFERROR(LOOKUP(2,1/(($R$3:R13=R13)*($H$3:H13&lt;&gt;"")),$H$3:H13),"growth")))</f>
        <v/>
      </c>
      <c r="X13" s="6" t="str">
        <f>IF(B13="","",IFERROR(LOOKUP(2,1/(($R$3:R13=R13)*($I$3:I13&lt;&gt;"")),$I$3:I13),".jpg"))</f>
        <v/>
      </c>
      <c r="Y13" s="6" t="str">
        <f t="shared" si="3"/>
        <v/>
      </c>
      <c r="Z13" t="str">
        <f>IF(B13="","",IF(IFERROR(LOOKUP(2,1/(($R$3:R13=R13)*($G$3:G13&lt;&gt;"")),$G$3:G13),"")="[none]","",IFERROR(LOOKUP(2,1/(($R$3:R13=R13)*($G$3:G13&lt;&gt;"")),$G$3:G13),"")))</f>
        <v/>
      </c>
    </row>
    <row r="14" spans="1:53" ht="13.9" thickBot="1">
      <c r="A14" s="113"/>
      <c r="B14" s="114"/>
      <c r="C14" s="113"/>
      <c r="D14" s="113"/>
      <c r="E14" s="113"/>
      <c r="F14" s="113"/>
      <c r="G14" s="84"/>
      <c r="H14" s="113"/>
      <c r="I14" s="113"/>
      <c r="J14" s="113"/>
      <c r="K14" s="5" t="str">
        <f>IF(B14="","",COUNTIF(Arrangements!$M$3:$M$92,U14))</f>
        <v/>
      </c>
      <c r="L14" s="5" t="str">
        <f>IF(OR(B14="",N14&lt;&gt;"OK"),"",1+SUMIFS($K$3:K13,$N$3:N13,"OK"))</f>
        <v/>
      </c>
      <c r="M14" s="5" t="str">
        <f t="shared" si="0"/>
        <v/>
      </c>
      <c r="N14" s="22" t="str">
        <f>IF(B14="","",IF(J14=FALSE,"Excluded",IF(R14="","Missing Exp",IF(NOT(IFERROR(TEXT(DATE(2000+VALUE(RIGHT(B14,2)),VALUE(MID(B14,4,2)),VALUE(LEFT(B14,2))),"dd.mm.yy")=B14,FALSE)),"Invalid date - use dd.mm.yy",IF(U14="","Missing Arrangement",IF(COUNTIF(Arrangements!$M$3:$M$92,U14)=0,"Unknown Arrangement",IF(SUMPRODUCT((Arrangements!$M$3:$M$92=U14)*(Arrangements!$P$3:$P$92&lt;&gt;"OK"))&gt;0,"Arrangement errors",IF(AND(V14&lt;&gt;"",COUNTIF(Annotations!$B$3:$B$46,V14)=0),"Unknown annotationSet",IF(AND(V14&lt;&gt;"",COUNTIFS(Annotations!$B$3:$B$46,V14,Annotations!$F$3:$F$46,"&lt;&gt;OK")&gt;0),"annotationSet errors",IF(K14=0,"No images",IF(COUNTIF($Y$3:$Y$62,Y14)&gt;1,"Duplicate session - change Name or Time",IF(AND(A14&lt;&gt;"",COUNTIF($A$3:$A$62,A14)&gt;1),"Duplicate Exp start","OK"))))))))))))</f>
        <v/>
      </c>
      <c r="O14" s="5" t="str">
        <f t="shared" si="1"/>
        <v/>
      </c>
      <c r="P14" s="11"/>
      <c r="Q14" s="84"/>
      <c r="R14" s="6" t="str">
        <f>IF(B14="","",IFERROR(LOOKUP(2,1/($A$3:A14&lt;&gt;""),$A$3:A14),""))</f>
        <v/>
      </c>
      <c r="S14" s="13" t="str">
        <f t="shared" si="2"/>
        <v/>
      </c>
      <c r="T14" s="6" t="str">
        <f>IF(B14="","",IFERROR(LOOKUP(2,1/(($R$3:R14=R14)*($D$3:D14&lt;&gt;"")),$D$3:D14),""))</f>
        <v/>
      </c>
      <c r="U14" s="6" t="str">
        <f>IF(B14="","",IFERROR(LOOKUP(2,1/(($R$3:R14=R14)*($E$3:E14&lt;&gt;"")),$E$3:E14),""))</f>
        <v/>
      </c>
      <c r="V14" s="6" t="str">
        <f>IF(B14="","",IFERROR(LOOKUP(2,1/(($R$3:R14=R14)*($F$3:F14&lt;&gt;"")),$F$3:F14),""))</f>
        <v/>
      </c>
      <c r="W14" s="6" t="str">
        <f>IF(B14="","",IF(IFERROR(LOOKUP(2,1/(($R$3:R14=R14)*($H$3:H14&lt;&gt;"")),$H$3:H14),"growth")="[none]","",IFERROR(LOOKUP(2,1/(($R$3:R14=R14)*($H$3:H14&lt;&gt;"")),$H$3:H14),"growth")))</f>
        <v/>
      </c>
      <c r="X14" s="6" t="str">
        <f>IF(B14="","",IFERROR(LOOKUP(2,1/(($R$3:R14=R14)*($I$3:I14&lt;&gt;"")),$I$3:I14),".jpg"))</f>
        <v/>
      </c>
      <c r="Y14" s="6" t="str">
        <f t="shared" si="3"/>
        <v/>
      </c>
      <c r="Z14" t="str">
        <f>IF(B14="","",IF(IFERROR(LOOKUP(2,1/(($R$3:R14=R14)*($G$3:G14&lt;&gt;"")),$G$3:G14),"")="[none]","",IFERROR(LOOKUP(2,1/(($R$3:R14=R14)*($G$3:G14&lt;&gt;"")),$G$3:G14),"")))</f>
        <v/>
      </c>
    </row>
    <row r="15" spans="1:53" ht="13.9" thickBot="1">
      <c r="A15" s="113"/>
      <c r="B15" s="114"/>
      <c r="C15" s="113"/>
      <c r="D15" s="113"/>
      <c r="E15" s="113"/>
      <c r="F15" s="113"/>
      <c r="G15" s="85"/>
      <c r="H15" s="113"/>
      <c r="I15" s="113"/>
      <c r="J15" s="113"/>
      <c r="K15" s="5" t="str">
        <f>IF(B15="","",COUNTIF(Arrangements!$M$3:$M$92,U15))</f>
        <v/>
      </c>
      <c r="L15" s="5" t="str">
        <f>IF(OR(B15="",N15&lt;&gt;"OK"),"",1+SUMIFS($K$3:K14,$N$3:N14,"OK"))</f>
        <v/>
      </c>
      <c r="M15" s="5" t="str">
        <f t="shared" si="0"/>
        <v/>
      </c>
      <c r="N15" s="22" t="str">
        <f>IF(B15="","",IF(J15=FALSE,"Excluded",IF(R15="","Missing Exp",IF(NOT(IFERROR(TEXT(DATE(2000+VALUE(RIGHT(B15,2)),VALUE(MID(B15,4,2)),VALUE(LEFT(B15,2))),"dd.mm.yy")=B15,FALSE)),"Invalid date - use dd.mm.yy",IF(U15="","Missing Arrangement",IF(COUNTIF(Arrangements!$M$3:$M$92,U15)=0,"Unknown Arrangement",IF(SUMPRODUCT((Arrangements!$M$3:$M$92=U15)*(Arrangements!$P$3:$P$92&lt;&gt;"OK"))&gt;0,"Arrangement errors",IF(AND(V15&lt;&gt;"",COUNTIF(Annotations!$B$3:$B$46,V15)=0),"Unknown annotationSet",IF(AND(V15&lt;&gt;"",COUNTIFS(Annotations!$B$3:$B$46,V15,Annotations!$F$3:$F$46,"&lt;&gt;OK")&gt;0),"annotationSet errors",IF(K15=0,"No images",IF(COUNTIF($Y$3:$Y$62,Y15)&gt;1,"Duplicate session - change Name or Time",IF(AND(A15&lt;&gt;"",COUNTIF($A$3:$A$62,A15)&gt;1),"Duplicate Exp start","OK"))))))))))))</f>
        <v/>
      </c>
      <c r="O15" s="5" t="str">
        <f t="shared" si="1"/>
        <v/>
      </c>
      <c r="Q15" s="85"/>
      <c r="R15" s="6" t="str">
        <f>IF(B15="","",IFERROR(LOOKUP(2,1/($A$3:A15&lt;&gt;""),$A$3:A15),""))</f>
        <v/>
      </c>
      <c r="S15" s="13" t="str">
        <f t="shared" si="2"/>
        <v/>
      </c>
      <c r="T15" s="6" t="str">
        <f>IF(B15="","",IFERROR(LOOKUP(2,1/(($R$3:R15=R15)*($D$3:D15&lt;&gt;"")),$D$3:D15),""))</f>
        <v/>
      </c>
      <c r="U15" s="6" t="str">
        <f>IF(B15="","",IFERROR(LOOKUP(2,1/(($R$3:R15=R15)*($E$3:E15&lt;&gt;"")),$E$3:E15),""))</f>
        <v/>
      </c>
      <c r="V15" s="6" t="str">
        <f>IF(B15="","",IFERROR(LOOKUP(2,1/(($R$3:R15=R15)*($F$3:F15&lt;&gt;"")),$F$3:F15),""))</f>
        <v/>
      </c>
      <c r="W15" s="6" t="str">
        <f>IF(B15="","",IF(IFERROR(LOOKUP(2,1/(($R$3:R15=R15)*($H$3:H15&lt;&gt;"")),$H$3:H15),"growth")="[none]","",IFERROR(LOOKUP(2,1/(($R$3:R15=R15)*($H$3:H15&lt;&gt;"")),$H$3:H15),"growth")))</f>
        <v/>
      </c>
      <c r="X15" s="6" t="str">
        <f>IF(B15="","",IFERROR(LOOKUP(2,1/(($R$3:R15=R15)*($I$3:I15&lt;&gt;"")),$I$3:I15),".jpg"))</f>
        <v/>
      </c>
      <c r="Y15" s="6" t="str">
        <f t="shared" si="3"/>
        <v/>
      </c>
      <c r="Z15" t="str">
        <f>IF(B15="","",IF(IFERROR(LOOKUP(2,1/(($R$3:R15=R15)*($G$3:G15&lt;&gt;"")),$G$3:G15),"")="[none]","",IFERROR(LOOKUP(2,1/(($R$3:R15=R15)*($G$3:G15&lt;&gt;"")),$G$3:G15),"")))</f>
        <v/>
      </c>
    </row>
    <row r="16" spans="1:53" ht="13.9" thickBot="1">
      <c r="A16" s="113"/>
      <c r="B16" s="114"/>
      <c r="C16" s="113"/>
      <c r="D16" s="113"/>
      <c r="E16" s="113"/>
      <c r="F16" s="113"/>
      <c r="G16" s="85"/>
      <c r="H16" s="113"/>
      <c r="I16" s="113"/>
      <c r="J16" s="113"/>
      <c r="K16" s="5" t="str">
        <f>IF(B16="","",COUNTIF(Arrangements!$M$3:$M$92,U16))</f>
        <v/>
      </c>
      <c r="L16" s="5" t="str">
        <f>IF(OR(B16="",N16&lt;&gt;"OK"),"",1+SUMIFS($K$3:K15,$N$3:N15,"OK"))</f>
        <v/>
      </c>
      <c r="M16" s="5" t="str">
        <f t="shared" si="0"/>
        <v/>
      </c>
      <c r="N16" s="22" t="str">
        <f>IF(B16="","",IF(J16=FALSE,"Excluded",IF(R16="","Missing Exp",IF(NOT(IFERROR(TEXT(DATE(2000+VALUE(RIGHT(B16,2)),VALUE(MID(B16,4,2)),VALUE(LEFT(B16,2))),"dd.mm.yy")=B16,FALSE)),"Invalid date - use dd.mm.yy",IF(U16="","Missing Arrangement",IF(COUNTIF(Arrangements!$M$3:$M$92,U16)=0,"Unknown Arrangement",IF(SUMPRODUCT((Arrangements!$M$3:$M$92=U16)*(Arrangements!$P$3:$P$92&lt;&gt;"OK"))&gt;0,"Arrangement errors",IF(AND(V16&lt;&gt;"",COUNTIF(Annotations!$B$3:$B$46,V16)=0),"Unknown annotationSet",IF(AND(V16&lt;&gt;"",COUNTIFS(Annotations!$B$3:$B$46,V16,Annotations!$F$3:$F$46,"&lt;&gt;OK")&gt;0),"annotationSet errors",IF(K16=0,"No images",IF(COUNTIF($Y$3:$Y$62,Y16)&gt;1,"Duplicate session - change Name or Time",IF(AND(A16&lt;&gt;"",COUNTIF($A$3:$A$62,A16)&gt;1),"Duplicate Exp start","OK"))))))))))))</f>
        <v/>
      </c>
      <c r="O16" s="5" t="str">
        <f t="shared" si="1"/>
        <v/>
      </c>
      <c r="Q16" s="85"/>
      <c r="R16" s="6" t="str">
        <f>IF(B16="","",IFERROR(LOOKUP(2,1/($A$3:A16&lt;&gt;""),$A$3:A16),""))</f>
        <v/>
      </c>
      <c r="S16" s="13" t="str">
        <f t="shared" si="2"/>
        <v/>
      </c>
      <c r="T16" s="6" t="str">
        <f>IF(B16="","",IFERROR(LOOKUP(2,1/(($R$3:R16=R16)*($D$3:D16&lt;&gt;"")),$D$3:D16),""))</f>
        <v/>
      </c>
      <c r="U16" s="6" t="str">
        <f>IF(B16="","",IFERROR(LOOKUP(2,1/(($R$3:R16=R16)*($E$3:E16&lt;&gt;"")),$E$3:E16),""))</f>
        <v/>
      </c>
      <c r="V16" s="6" t="str">
        <f>IF(B16="","",IFERROR(LOOKUP(2,1/(($R$3:R16=R16)*($F$3:F16&lt;&gt;"")),$F$3:F16),""))</f>
        <v/>
      </c>
      <c r="W16" s="6" t="str">
        <f>IF(B16="","",IF(IFERROR(LOOKUP(2,1/(($R$3:R16=R16)*($H$3:H16&lt;&gt;"")),$H$3:H16),"growth")="[none]","",IFERROR(LOOKUP(2,1/(($R$3:R16=R16)*($H$3:H16&lt;&gt;"")),$H$3:H16),"growth")))</f>
        <v/>
      </c>
      <c r="X16" s="6" t="str">
        <f>IF(B16="","",IFERROR(LOOKUP(2,1/(($R$3:R16=R16)*($I$3:I16&lt;&gt;"")),$I$3:I16),".jpg"))</f>
        <v/>
      </c>
      <c r="Y16" s="6" t="str">
        <f t="shared" si="3"/>
        <v/>
      </c>
      <c r="Z16" t="str">
        <f>IF(B16="","",IF(IFERROR(LOOKUP(2,1/(($R$3:R16=R16)*($G$3:G16&lt;&gt;"")),$G$3:G16),"")="[none]","",IFERROR(LOOKUP(2,1/(($R$3:R16=R16)*($G$3:G16&lt;&gt;"")),$G$3:G16),"")))</f>
        <v/>
      </c>
    </row>
    <row r="17" spans="1:26" ht="13.9" thickBot="1">
      <c r="A17" s="113"/>
      <c r="B17" s="114"/>
      <c r="C17" s="113"/>
      <c r="D17" s="113"/>
      <c r="E17" s="113"/>
      <c r="F17" s="113"/>
      <c r="G17" s="85"/>
      <c r="H17" s="113"/>
      <c r="I17" s="113"/>
      <c r="J17" s="113"/>
      <c r="K17" s="5" t="str">
        <f>IF(B17="","",COUNTIF(Arrangements!$M$3:$M$92,U17))</f>
        <v/>
      </c>
      <c r="L17" s="5" t="str">
        <f>IF(OR(B17="",N17&lt;&gt;"OK"),"",1+SUMIFS($K$3:K16,$N$3:N16,"OK"))</f>
        <v/>
      </c>
      <c r="M17" s="5" t="str">
        <f t="shared" si="0"/>
        <v/>
      </c>
      <c r="N17" s="22" t="str">
        <f>IF(B17="","",IF(J17=FALSE,"Excluded",IF(R17="","Missing Exp",IF(NOT(IFERROR(TEXT(DATE(2000+VALUE(RIGHT(B17,2)),VALUE(MID(B17,4,2)),VALUE(LEFT(B17,2))),"dd.mm.yy")=B17,FALSE)),"Invalid date - use dd.mm.yy",IF(U17="","Missing Arrangement",IF(COUNTIF(Arrangements!$M$3:$M$92,U17)=0,"Unknown Arrangement",IF(SUMPRODUCT((Arrangements!$M$3:$M$92=U17)*(Arrangements!$P$3:$P$92&lt;&gt;"OK"))&gt;0,"Arrangement errors",IF(AND(V17&lt;&gt;"",COUNTIF(Annotations!$B$3:$B$46,V17)=0),"Unknown annotationSet",IF(AND(V17&lt;&gt;"",COUNTIFS(Annotations!$B$3:$B$46,V17,Annotations!$F$3:$F$46,"&lt;&gt;OK")&gt;0),"annotationSet errors",IF(K17=0,"No images",IF(COUNTIF($Y$3:$Y$62,Y17)&gt;1,"Duplicate session - change Name or Time",IF(AND(A17&lt;&gt;"",COUNTIF($A$3:$A$62,A17)&gt;1),"Duplicate Exp start","OK"))))))))))))</f>
        <v/>
      </c>
      <c r="O17" s="5" t="str">
        <f t="shared" si="1"/>
        <v/>
      </c>
      <c r="Q17" s="85"/>
      <c r="R17" s="6" t="str">
        <f>IF(B17="","",IFERROR(LOOKUP(2,1/($A$3:A17&lt;&gt;""),$A$3:A17),""))</f>
        <v/>
      </c>
      <c r="S17" s="13" t="str">
        <f t="shared" si="2"/>
        <v/>
      </c>
      <c r="T17" s="6" t="str">
        <f>IF(B17="","",IFERROR(LOOKUP(2,1/(($R$3:R17=R17)*($D$3:D17&lt;&gt;"")),$D$3:D17),""))</f>
        <v/>
      </c>
      <c r="U17" s="6" t="str">
        <f>IF(B17="","",IFERROR(LOOKUP(2,1/(($R$3:R17=R17)*($E$3:E17&lt;&gt;"")),$E$3:E17),""))</f>
        <v/>
      </c>
      <c r="V17" s="6" t="str">
        <f>IF(B17="","",IFERROR(LOOKUP(2,1/(($R$3:R17=R17)*($F$3:F17&lt;&gt;"")),$F$3:F17),""))</f>
        <v/>
      </c>
      <c r="W17" s="6" t="str">
        <f>IF(B17="","",IF(IFERROR(LOOKUP(2,1/(($R$3:R17=R17)*($H$3:H17&lt;&gt;"")),$H$3:H17),"growth")="[none]","",IFERROR(LOOKUP(2,1/(($R$3:R17=R17)*($H$3:H17&lt;&gt;"")),$H$3:H17),"growth")))</f>
        <v/>
      </c>
      <c r="X17" s="6" t="str">
        <f>IF(B17="","",IFERROR(LOOKUP(2,1/(($R$3:R17=R17)*($I$3:I17&lt;&gt;"")),$I$3:I17),".jpg"))</f>
        <v/>
      </c>
      <c r="Y17" s="6" t="str">
        <f t="shared" si="3"/>
        <v/>
      </c>
      <c r="Z17" t="str">
        <f>IF(B17="","",IF(IFERROR(LOOKUP(2,1/(($R$3:R17=R17)*($G$3:G17&lt;&gt;"")),$G$3:G17),"")="[none]","",IFERROR(LOOKUP(2,1/(($R$3:R17=R17)*($G$3:G17&lt;&gt;"")),$G$3:G17),"")))</f>
        <v/>
      </c>
    </row>
    <row r="18" spans="1:26" ht="13.9" thickBot="1">
      <c r="A18" s="113"/>
      <c r="B18" s="114"/>
      <c r="C18" s="113"/>
      <c r="D18" s="113"/>
      <c r="E18" s="113"/>
      <c r="F18" s="113"/>
      <c r="G18" s="85"/>
      <c r="H18" s="113"/>
      <c r="I18" s="113"/>
      <c r="J18" s="113"/>
      <c r="K18" s="5" t="str">
        <f>IF(B18="","",COUNTIF(Arrangements!$M$3:$M$92,U18))</f>
        <v/>
      </c>
      <c r="L18" s="5" t="str">
        <f>IF(OR(B18="",N18&lt;&gt;"OK"),"",1+SUMIFS($K$3:K17,$N$3:N17,"OK"))</f>
        <v/>
      </c>
      <c r="M18" s="5" t="str">
        <f t="shared" si="0"/>
        <v/>
      </c>
      <c r="N18" s="22" t="str">
        <f>IF(B18="","",IF(J18=FALSE,"Excluded",IF(R18="","Missing Exp",IF(NOT(IFERROR(TEXT(DATE(2000+VALUE(RIGHT(B18,2)),VALUE(MID(B18,4,2)),VALUE(LEFT(B18,2))),"dd.mm.yy")=B18,FALSE)),"Invalid date - use dd.mm.yy",IF(U18="","Missing Arrangement",IF(COUNTIF(Arrangements!$M$3:$M$92,U18)=0,"Unknown Arrangement",IF(SUMPRODUCT((Arrangements!$M$3:$M$92=U18)*(Arrangements!$P$3:$P$92&lt;&gt;"OK"))&gt;0,"Arrangement errors",IF(AND(V18&lt;&gt;"",COUNTIF(Annotations!$B$3:$B$46,V18)=0),"Unknown annotationSet",IF(AND(V18&lt;&gt;"",COUNTIFS(Annotations!$B$3:$B$46,V18,Annotations!$F$3:$F$46,"&lt;&gt;OK")&gt;0),"annotationSet errors",IF(K18=0,"No images",IF(COUNTIF($Y$3:$Y$62,Y18)&gt;1,"Duplicate session - change Name or Time",IF(AND(A18&lt;&gt;"",COUNTIF($A$3:$A$62,A18)&gt;1),"Duplicate Exp start","OK"))))))))))))</f>
        <v/>
      </c>
      <c r="O18" s="5" t="str">
        <f t="shared" si="1"/>
        <v/>
      </c>
      <c r="Q18" s="85"/>
      <c r="R18" s="6" t="str">
        <f>IF(B18="","",IFERROR(LOOKUP(2,1/($A$3:A18&lt;&gt;""),$A$3:A18),""))</f>
        <v/>
      </c>
      <c r="S18" s="13" t="str">
        <f t="shared" si="2"/>
        <v/>
      </c>
      <c r="T18" s="6" t="str">
        <f>IF(B18="","",IFERROR(LOOKUP(2,1/(($R$3:R18=R18)*($D$3:D18&lt;&gt;"")),$D$3:D18),""))</f>
        <v/>
      </c>
      <c r="U18" s="6" t="str">
        <f>IF(B18="","",IFERROR(LOOKUP(2,1/(($R$3:R18=R18)*($E$3:E18&lt;&gt;"")),$E$3:E18),""))</f>
        <v/>
      </c>
      <c r="V18" s="6" t="str">
        <f>IF(B18="","",IFERROR(LOOKUP(2,1/(($R$3:R18=R18)*($F$3:F18&lt;&gt;"")),$F$3:F18),""))</f>
        <v/>
      </c>
      <c r="W18" s="6" t="str">
        <f>IF(B18="","",IF(IFERROR(LOOKUP(2,1/(($R$3:R18=R18)*($H$3:H18&lt;&gt;"")),$H$3:H18),"growth")="[none]","",IFERROR(LOOKUP(2,1/(($R$3:R18=R18)*($H$3:H18&lt;&gt;"")),$H$3:H18),"growth")))</f>
        <v/>
      </c>
      <c r="X18" s="6" t="str">
        <f>IF(B18="","",IFERROR(LOOKUP(2,1/(($R$3:R18=R18)*($I$3:I18&lt;&gt;"")),$I$3:I18),".jpg"))</f>
        <v/>
      </c>
      <c r="Y18" s="6" t="str">
        <f t="shared" si="3"/>
        <v/>
      </c>
      <c r="Z18" t="str">
        <f>IF(B18="","",IF(IFERROR(LOOKUP(2,1/(($R$3:R18=R18)*($G$3:G18&lt;&gt;"")),$G$3:G18),"")="[none]","",IFERROR(LOOKUP(2,1/(($R$3:R18=R18)*($G$3:G18&lt;&gt;"")),$G$3:G18),"")))</f>
        <v/>
      </c>
    </row>
    <row r="19" spans="1:26" ht="13.9" thickBot="1">
      <c r="A19" s="113"/>
      <c r="B19" s="114"/>
      <c r="C19" s="113"/>
      <c r="D19" s="113"/>
      <c r="E19" s="113"/>
      <c r="F19" s="113"/>
      <c r="G19" s="85"/>
      <c r="H19" s="113"/>
      <c r="I19" s="113"/>
      <c r="J19" s="113"/>
      <c r="K19" s="5" t="str">
        <f>IF(B19="","",COUNTIF(Arrangements!$M$3:$M$92,U19))</f>
        <v/>
      </c>
      <c r="L19" s="5" t="str">
        <f>IF(OR(B19="",N19&lt;&gt;"OK"),"",1+SUMIFS($K$3:K18,$N$3:N18,"OK"))</f>
        <v/>
      </c>
      <c r="M19" s="5" t="str">
        <f t="shared" si="0"/>
        <v/>
      </c>
      <c r="N19" s="22" t="str">
        <f>IF(B19="","",IF(J19=FALSE,"Excluded",IF(R19="","Missing Exp",IF(NOT(IFERROR(TEXT(DATE(2000+VALUE(RIGHT(B19,2)),VALUE(MID(B19,4,2)),VALUE(LEFT(B19,2))),"dd.mm.yy")=B19,FALSE)),"Invalid date - use dd.mm.yy",IF(U19="","Missing Arrangement",IF(COUNTIF(Arrangements!$M$3:$M$92,U19)=0,"Unknown Arrangement",IF(SUMPRODUCT((Arrangements!$M$3:$M$92=U19)*(Arrangements!$P$3:$P$92&lt;&gt;"OK"))&gt;0,"Arrangement errors",IF(AND(V19&lt;&gt;"",COUNTIF(Annotations!$B$3:$B$46,V19)=0),"Unknown annotationSet",IF(AND(V19&lt;&gt;"",COUNTIFS(Annotations!$B$3:$B$46,V19,Annotations!$F$3:$F$46,"&lt;&gt;OK")&gt;0),"annotationSet errors",IF(K19=0,"No images",IF(COUNTIF($Y$3:$Y$62,Y19)&gt;1,"Duplicate session - change Name or Time",IF(AND(A19&lt;&gt;"",COUNTIF($A$3:$A$62,A19)&gt;1),"Duplicate Exp start","OK"))))))))))))</f>
        <v/>
      </c>
      <c r="O19" s="5" t="str">
        <f t="shared" si="1"/>
        <v/>
      </c>
      <c r="Q19" s="85"/>
      <c r="R19" s="6" t="str">
        <f>IF(B19="","",IFERROR(LOOKUP(2,1/($A$3:A19&lt;&gt;""),$A$3:A19),""))</f>
        <v/>
      </c>
      <c r="S19" s="13" t="str">
        <f t="shared" si="2"/>
        <v/>
      </c>
      <c r="T19" s="6" t="str">
        <f>IF(B19="","",IFERROR(LOOKUP(2,1/(($R$3:R19=R19)*($D$3:D19&lt;&gt;"")),$D$3:D19),""))</f>
        <v/>
      </c>
      <c r="U19" s="6" t="str">
        <f>IF(B19="","",IFERROR(LOOKUP(2,1/(($R$3:R19=R19)*($E$3:E19&lt;&gt;"")),$E$3:E19),""))</f>
        <v/>
      </c>
      <c r="V19" s="6" t="str">
        <f>IF(B19="","",IFERROR(LOOKUP(2,1/(($R$3:R19=R19)*($F$3:F19&lt;&gt;"")),$F$3:F19),""))</f>
        <v/>
      </c>
      <c r="W19" s="6" t="str">
        <f>IF(B19="","",IF(IFERROR(LOOKUP(2,1/(($R$3:R19=R19)*($H$3:H19&lt;&gt;"")),$H$3:H19),"growth")="[none]","",IFERROR(LOOKUP(2,1/(($R$3:R19=R19)*($H$3:H19&lt;&gt;"")),$H$3:H19),"growth")))</f>
        <v/>
      </c>
      <c r="X19" s="6" t="str">
        <f>IF(B19="","",IFERROR(LOOKUP(2,1/(($R$3:R19=R19)*($I$3:I19&lt;&gt;"")),$I$3:I19),".jpg"))</f>
        <v/>
      </c>
      <c r="Y19" s="6" t="str">
        <f t="shared" si="3"/>
        <v/>
      </c>
      <c r="Z19" t="str">
        <f>IF(B19="","",IF(IFERROR(LOOKUP(2,1/(($R$3:R19=R19)*($G$3:G19&lt;&gt;"")),$G$3:G19),"")="[none]","",IFERROR(LOOKUP(2,1/(($R$3:R19=R19)*($G$3:G19&lt;&gt;"")),$G$3:G19),"")))</f>
        <v/>
      </c>
    </row>
    <row r="20" spans="1:26" ht="13.9" thickBot="1">
      <c r="A20" s="113"/>
      <c r="B20" s="114"/>
      <c r="C20" s="113"/>
      <c r="D20" s="113"/>
      <c r="E20" s="113"/>
      <c r="F20" s="113"/>
      <c r="G20" s="85"/>
      <c r="H20" s="113"/>
      <c r="I20" s="113"/>
      <c r="J20" s="113"/>
      <c r="K20" s="5" t="str">
        <f>IF(B20="","",COUNTIF(Arrangements!$M$3:$M$92,U20))</f>
        <v/>
      </c>
      <c r="L20" s="5" t="str">
        <f>IF(OR(B20="",N20&lt;&gt;"OK"),"",1+SUMIFS($K$3:K19,$N$3:N19,"OK"))</f>
        <v/>
      </c>
      <c r="M20" s="5" t="str">
        <f t="shared" si="0"/>
        <v/>
      </c>
      <c r="N20" s="22" t="str">
        <f>IF(B20="","",IF(J20=FALSE,"Excluded",IF(R20="","Missing Exp",IF(NOT(IFERROR(TEXT(DATE(2000+VALUE(RIGHT(B20,2)),VALUE(MID(B20,4,2)),VALUE(LEFT(B20,2))),"dd.mm.yy")=B20,FALSE)),"Invalid date - use dd.mm.yy",IF(U20="","Missing Arrangement",IF(COUNTIF(Arrangements!$M$3:$M$92,U20)=0,"Unknown Arrangement",IF(SUMPRODUCT((Arrangements!$M$3:$M$92=U20)*(Arrangements!$P$3:$P$92&lt;&gt;"OK"))&gt;0,"Arrangement errors",IF(AND(V20&lt;&gt;"",COUNTIF(Annotations!$B$3:$B$46,V20)=0),"Unknown annotationSet",IF(AND(V20&lt;&gt;"",COUNTIFS(Annotations!$B$3:$B$46,V20,Annotations!$F$3:$F$46,"&lt;&gt;OK")&gt;0),"annotationSet errors",IF(K20=0,"No images",IF(COUNTIF($Y$3:$Y$62,Y20)&gt;1,"Duplicate session - change Name or Time",IF(AND(A20&lt;&gt;"",COUNTIF($A$3:$A$62,A20)&gt;1),"Duplicate Exp start","OK"))))))))))))</f>
        <v/>
      </c>
      <c r="O20" s="5" t="str">
        <f t="shared" si="1"/>
        <v/>
      </c>
      <c r="Q20" s="85"/>
      <c r="R20" s="6" t="str">
        <f>IF(B20="","",IFERROR(LOOKUP(2,1/($A$3:A20&lt;&gt;""),$A$3:A20),""))</f>
        <v/>
      </c>
      <c r="S20" s="13" t="str">
        <f t="shared" si="2"/>
        <v/>
      </c>
      <c r="T20" s="6" t="str">
        <f>IF(B20="","",IFERROR(LOOKUP(2,1/(($R$3:R20=R20)*($D$3:D20&lt;&gt;"")),$D$3:D20),""))</f>
        <v/>
      </c>
      <c r="U20" s="6" t="str">
        <f>IF(B20="","",IFERROR(LOOKUP(2,1/(($R$3:R20=R20)*($E$3:E20&lt;&gt;"")),$E$3:E20),""))</f>
        <v/>
      </c>
      <c r="V20" s="6" t="str">
        <f>IF(B20="","",IFERROR(LOOKUP(2,1/(($R$3:R20=R20)*($F$3:F20&lt;&gt;"")),$F$3:F20),""))</f>
        <v/>
      </c>
      <c r="W20" s="6" t="str">
        <f>IF(B20="","",IF(IFERROR(LOOKUP(2,1/(($R$3:R20=R20)*($H$3:H20&lt;&gt;"")),$H$3:H20),"growth")="[none]","",IFERROR(LOOKUP(2,1/(($R$3:R20=R20)*($H$3:H20&lt;&gt;"")),$H$3:H20),"growth")))</f>
        <v/>
      </c>
      <c r="X20" s="6" t="str">
        <f>IF(B20="","",IFERROR(LOOKUP(2,1/(($R$3:R20=R20)*($I$3:I20&lt;&gt;"")),$I$3:I20),".jpg"))</f>
        <v/>
      </c>
      <c r="Y20" s="6" t="str">
        <f t="shared" si="3"/>
        <v/>
      </c>
      <c r="Z20" t="str">
        <f>IF(B20="","",IF(IFERROR(LOOKUP(2,1/(($R$3:R20=R20)*($G$3:G20&lt;&gt;"")),$G$3:G20),"")="[none]","",IFERROR(LOOKUP(2,1/(($R$3:R20=R20)*($G$3:G20&lt;&gt;"")),$G$3:G20),"")))</f>
        <v/>
      </c>
    </row>
    <row r="21" spans="1:26" ht="13.9" thickBot="1">
      <c r="A21" s="113"/>
      <c r="B21" s="114"/>
      <c r="C21" s="113"/>
      <c r="D21" s="113"/>
      <c r="E21" s="113"/>
      <c r="F21" s="113"/>
      <c r="G21" s="85"/>
      <c r="H21" s="113"/>
      <c r="I21" s="113"/>
      <c r="J21" s="113"/>
      <c r="K21" s="5" t="str">
        <f>IF(B21="","",COUNTIF(Arrangements!$M$3:$M$92,U21))</f>
        <v/>
      </c>
      <c r="L21" s="5" t="str">
        <f>IF(OR(B21="",N21&lt;&gt;"OK"),"",1+SUMIFS($K$3:K20,$N$3:N20,"OK"))</f>
        <v/>
      </c>
      <c r="M21" s="5" t="str">
        <f t="shared" si="0"/>
        <v/>
      </c>
      <c r="N21" s="22" t="str">
        <f>IF(B21="","",IF(J21=FALSE,"Excluded",IF(R21="","Missing Exp",IF(NOT(IFERROR(TEXT(DATE(2000+VALUE(RIGHT(B21,2)),VALUE(MID(B21,4,2)),VALUE(LEFT(B21,2))),"dd.mm.yy")=B21,FALSE)),"Invalid date - use dd.mm.yy",IF(U21="","Missing Arrangement",IF(COUNTIF(Arrangements!$M$3:$M$92,U21)=0,"Unknown Arrangement",IF(SUMPRODUCT((Arrangements!$M$3:$M$92=U21)*(Arrangements!$P$3:$P$92&lt;&gt;"OK"))&gt;0,"Arrangement errors",IF(AND(V21&lt;&gt;"",COUNTIF(Annotations!$B$3:$B$46,V21)=0),"Unknown annotationSet",IF(AND(V21&lt;&gt;"",COUNTIFS(Annotations!$B$3:$B$46,V21,Annotations!$F$3:$F$46,"&lt;&gt;OK")&gt;0),"annotationSet errors",IF(K21=0,"No images",IF(COUNTIF($Y$3:$Y$62,Y21)&gt;1,"Duplicate session - change Name or Time",IF(AND(A21&lt;&gt;"",COUNTIF($A$3:$A$62,A21)&gt;1),"Duplicate Exp start","OK"))))))))))))</f>
        <v/>
      </c>
      <c r="O21" s="5" t="str">
        <f t="shared" si="1"/>
        <v/>
      </c>
      <c r="Q21" s="85"/>
      <c r="R21" s="6" t="str">
        <f>IF(B21="","",IFERROR(LOOKUP(2,1/($A$3:A21&lt;&gt;""),$A$3:A21),""))</f>
        <v/>
      </c>
      <c r="S21" s="13" t="str">
        <f t="shared" si="2"/>
        <v/>
      </c>
      <c r="T21" s="6" t="str">
        <f>IF(B21="","",IFERROR(LOOKUP(2,1/(($R$3:R21=R21)*($D$3:D21&lt;&gt;"")),$D$3:D21),""))</f>
        <v/>
      </c>
      <c r="U21" s="6" t="str">
        <f>IF(B21="","",IFERROR(LOOKUP(2,1/(($R$3:R21=R21)*($E$3:E21&lt;&gt;"")),$E$3:E21),""))</f>
        <v/>
      </c>
      <c r="V21" s="6" t="str">
        <f>IF(B21="","",IFERROR(LOOKUP(2,1/(($R$3:R21=R21)*($F$3:F21&lt;&gt;"")),$F$3:F21),""))</f>
        <v/>
      </c>
      <c r="W21" s="6" t="str">
        <f>IF(B21="","",IF(IFERROR(LOOKUP(2,1/(($R$3:R21=R21)*($H$3:H21&lt;&gt;"")),$H$3:H21),"growth")="[none]","",IFERROR(LOOKUP(2,1/(($R$3:R21=R21)*($H$3:H21&lt;&gt;"")),$H$3:H21),"growth")))</f>
        <v/>
      </c>
      <c r="X21" s="6" t="str">
        <f>IF(B21="","",IFERROR(LOOKUP(2,1/(($R$3:R21=R21)*($I$3:I21&lt;&gt;"")),$I$3:I21),".jpg"))</f>
        <v/>
      </c>
      <c r="Y21" s="6" t="str">
        <f t="shared" si="3"/>
        <v/>
      </c>
      <c r="Z21" t="str">
        <f>IF(B21="","",IF(IFERROR(LOOKUP(2,1/(($R$3:R21=R21)*($G$3:G21&lt;&gt;"")),$G$3:G21),"")="[none]","",IFERROR(LOOKUP(2,1/(($R$3:R21=R21)*($G$3:G21&lt;&gt;"")),$G$3:G21),"")))</f>
        <v/>
      </c>
    </row>
    <row r="22" spans="1:26" ht="13.9" thickBot="1">
      <c r="A22" s="113"/>
      <c r="B22" s="114"/>
      <c r="C22" s="113"/>
      <c r="D22" s="113"/>
      <c r="E22" s="113"/>
      <c r="F22" s="113"/>
      <c r="G22" s="85"/>
      <c r="H22" s="113"/>
      <c r="I22" s="113"/>
      <c r="J22" s="113"/>
      <c r="K22" s="5" t="str">
        <f>IF(B22="","",COUNTIF(Arrangements!$M$3:$M$92,U22))</f>
        <v/>
      </c>
      <c r="L22" s="5" t="str">
        <f>IF(OR(B22="",N22&lt;&gt;"OK"),"",1+SUMIFS($K$3:K21,$N$3:N21,"OK"))</f>
        <v/>
      </c>
      <c r="M22" s="5" t="str">
        <f t="shared" si="0"/>
        <v/>
      </c>
      <c r="N22" s="22" t="str">
        <f>IF(B22="","",IF(J22=FALSE,"Excluded",IF(R22="","Missing Exp",IF(NOT(IFERROR(TEXT(DATE(2000+VALUE(RIGHT(B22,2)),VALUE(MID(B22,4,2)),VALUE(LEFT(B22,2))),"dd.mm.yy")=B22,FALSE)),"Invalid date - use dd.mm.yy",IF(U22="","Missing Arrangement",IF(COUNTIF(Arrangements!$M$3:$M$92,U22)=0,"Unknown Arrangement",IF(SUMPRODUCT((Arrangements!$M$3:$M$92=U22)*(Arrangements!$P$3:$P$92&lt;&gt;"OK"))&gt;0,"Arrangement errors",IF(AND(V22&lt;&gt;"",COUNTIF(Annotations!$B$3:$B$46,V22)=0),"Unknown annotationSet",IF(AND(V22&lt;&gt;"",COUNTIFS(Annotations!$B$3:$B$46,V22,Annotations!$F$3:$F$46,"&lt;&gt;OK")&gt;0),"annotationSet errors",IF(K22=0,"No images",IF(COUNTIF($Y$3:$Y$62,Y22)&gt;1,"Duplicate session - change Name or Time",IF(AND(A22&lt;&gt;"",COUNTIF($A$3:$A$62,A22)&gt;1),"Duplicate Exp start","OK"))))))))))))</f>
        <v/>
      </c>
      <c r="O22" s="5" t="str">
        <f t="shared" si="1"/>
        <v/>
      </c>
      <c r="Q22" s="85"/>
      <c r="R22" s="6" t="str">
        <f>IF(B22="","",IFERROR(LOOKUP(2,1/($A$3:A22&lt;&gt;""),$A$3:A22),""))</f>
        <v/>
      </c>
      <c r="S22" s="13" t="str">
        <f t="shared" si="2"/>
        <v/>
      </c>
      <c r="T22" s="6" t="str">
        <f>IF(B22="","",IFERROR(LOOKUP(2,1/(($R$3:R22=R22)*($D$3:D22&lt;&gt;"")),$D$3:D22),""))</f>
        <v/>
      </c>
      <c r="U22" s="6" t="str">
        <f>IF(B22="","",IFERROR(LOOKUP(2,1/(($R$3:R22=R22)*($E$3:E22&lt;&gt;"")),$E$3:E22),""))</f>
        <v/>
      </c>
      <c r="V22" s="6" t="str">
        <f>IF(B22="","",IFERROR(LOOKUP(2,1/(($R$3:R22=R22)*($F$3:F22&lt;&gt;"")),$F$3:F22),""))</f>
        <v/>
      </c>
      <c r="W22" s="6" t="str">
        <f>IF(B22="","",IF(IFERROR(LOOKUP(2,1/(($R$3:R22=R22)*($H$3:H22&lt;&gt;"")),$H$3:H22),"growth")="[none]","",IFERROR(LOOKUP(2,1/(($R$3:R22=R22)*($H$3:H22&lt;&gt;"")),$H$3:H22),"growth")))</f>
        <v/>
      </c>
      <c r="X22" s="6" t="str">
        <f>IF(B22="","",IFERROR(LOOKUP(2,1/(($R$3:R22=R22)*($I$3:I22&lt;&gt;"")),$I$3:I22),".jpg"))</f>
        <v/>
      </c>
      <c r="Y22" s="6" t="str">
        <f t="shared" si="3"/>
        <v/>
      </c>
      <c r="Z22" t="str">
        <f>IF(B22="","",IF(IFERROR(LOOKUP(2,1/(($R$3:R22=R22)*($G$3:G22&lt;&gt;"")),$G$3:G22),"")="[none]","",IFERROR(LOOKUP(2,1/(($R$3:R22=R22)*($G$3:G22&lt;&gt;"")),$G$3:G22),"")))</f>
        <v/>
      </c>
    </row>
    <row r="23" spans="1:26" ht="13.9" thickBot="1">
      <c r="A23" s="113"/>
      <c r="B23" s="114"/>
      <c r="C23" s="113"/>
      <c r="D23" s="113"/>
      <c r="E23" s="113"/>
      <c r="F23" s="113"/>
      <c r="G23" s="85"/>
      <c r="H23" s="113"/>
      <c r="I23" s="113"/>
      <c r="J23" s="113"/>
      <c r="K23" s="5" t="str">
        <f>IF(B23="","",COUNTIF(Arrangements!$M$3:$M$92,U23))</f>
        <v/>
      </c>
      <c r="L23" s="5" t="str">
        <f>IF(OR(B23="",N23&lt;&gt;"OK"),"",1+SUMIFS($K$3:K22,$N$3:N22,"OK"))</f>
        <v/>
      </c>
      <c r="M23" s="5" t="str">
        <f t="shared" si="0"/>
        <v/>
      </c>
      <c r="N23" s="22" t="str">
        <f>IF(B23="","",IF(J23=FALSE,"Excluded",IF(R23="","Missing Exp",IF(NOT(IFERROR(TEXT(DATE(2000+VALUE(RIGHT(B23,2)),VALUE(MID(B23,4,2)),VALUE(LEFT(B23,2))),"dd.mm.yy")=B23,FALSE)),"Invalid date - use dd.mm.yy",IF(U23="","Missing Arrangement",IF(COUNTIF(Arrangements!$M$3:$M$92,U23)=0,"Unknown Arrangement",IF(SUMPRODUCT((Arrangements!$M$3:$M$92=U23)*(Arrangements!$P$3:$P$92&lt;&gt;"OK"))&gt;0,"Arrangement errors",IF(AND(V23&lt;&gt;"",COUNTIF(Annotations!$B$3:$B$46,V23)=0),"Unknown annotationSet",IF(AND(V23&lt;&gt;"",COUNTIFS(Annotations!$B$3:$B$46,V23,Annotations!$F$3:$F$46,"&lt;&gt;OK")&gt;0),"annotationSet errors",IF(K23=0,"No images",IF(COUNTIF($Y$3:$Y$62,Y23)&gt;1,"Duplicate session - change Name or Time",IF(AND(A23&lt;&gt;"",COUNTIF($A$3:$A$62,A23)&gt;1),"Duplicate Exp start","OK"))))))))))))</f>
        <v/>
      </c>
      <c r="O23" s="5" t="str">
        <f t="shared" si="1"/>
        <v/>
      </c>
      <c r="Q23" s="85"/>
      <c r="R23" s="6" t="str">
        <f>IF(B23="","",IFERROR(LOOKUP(2,1/($A$3:A23&lt;&gt;""),$A$3:A23),""))</f>
        <v/>
      </c>
      <c r="S23" s="13" t="str">
        <f t="shared" si="2"/>
        <v/>
      </c>
      <c r="T23" s="6" t="str">
        <f>IF(B23="","",IFERROR(LOOKUP(2,1/(($R$3:R23=R23)*($D$3:D23&lt;&gt;"")),$D$3:D23),""))</f>
        <v/>
      </c>
      <c r="U23" s="6" t="str">
        <f>IF(B23="","",IFERROR(LOOKUP(2,1/(($R$3:R23=R23)*($E$3:E23&lt;&gt;"")),$E$3:E23),""))</f>
        <v/>
      </c>
      <c r="V23" s="6" t="str">
        <f>IF(B23="","",IFERROR(LOOKUP(2,1/(($R$3:R23=R23)*($F$3:F23&lt;&gt;"")),$F$3:F23),""))</f>
        <v/>
      </c>
      <c r="W23" s="6" t="str">
        <f>IF(B23="","",IF(IFERROR(LOOKUP(2,1/(($R$3:R23=R23)*($H$3:H23&lt;&gt;"")),$H$3:H23),"growth")="[none]","",IFERROR(LOOKUP(2,1/(($R$3:R23=R23)*($H$3:H23&lt;&gt;"")),$H$3:H23),"growth")))</f>
        <v/>
      </c>
      <c r="X23" s="6" t="str">
        <f>IF(B23="","",IFERROR(LOOKUP(2,1/(($R$3:R23=R23)*($I$3:I23&lt;&gt;"")),$I$3:I23),".jpg"))</f>
        <v/>
      </c>
      <c r="Y23" s="6" t="str">
        <f t="shared" si="3"/>
        <v/>
      </c>
      <c r="Z23" t="str">
        <f>IF(B23="","",IF(IFERROR(LOOKUP(2,1/(($R$3:R23=R23)*($G$3:G23&lt;&gt;"")),$G$3:G23),"")="[none]","",IFERROR(LOOKUP(2,1/(($R$3:R23=R23)*($G$3:G23&lt;&gt;"")),$G$3:G23),"")))</f>
        <v/>
      </c>
    </row>
    <row r="24" spans="1:26" ht="13.9" thickBot="1">
      <c r="A24" s="113"/>
      <c r="B24" s="114"/>
      <c r="C24" s="113"/>
      <c r="D24" s="113"/>
      <c r="E24" s="113"/>
      <c r="F24" s="113"/>
      <c r="G24" s="85"/>
      <c r="H24" s="113"/>
      <c r="I24" s="113"/>
      <c r="J24" s="113"/>
      <c r="K24" s="5" t="str">
        <f>IF(B24="","",COUNTIF(Arrangements!$M$3:$M$92,U24))</f>
        <v/>
      </c>
      <c r="L24" s="5" t="str">
        <f>IF(OR(B24="",N24&lt;&gt;"OK"),"",1+SUMIFS($K$3:K23,$N$3:N23,"OK"))</f>
        <v/>
      </c>
      <c r="M24" s="5" t="str">
        <f t="shared" si="0"/>
        <v/>
      </c>
      <c r="N24" s="22" t="str">
        <f>IF(B24="","",IF(J24=FALSE,"Excluded",IF(R24="","Missing Exp",IF(NOT(IFERROR(TEXT(DATE(2000+VALUE(RIGHT(B24,2)),VALUE(MID(B24,4,2)),VALUE(LEFT(B24,2))),"dd.mm.yy")=B24,FALSE)),"Invalid date - use dd.mm.yy",IF(U24="","Missing Arrangement",IF(COUNTIF(Arrangements!$M$3:$M$92,U24)=0,"Unknown Arrangement",IF(SUMPRODUCT((Arrangements!$M$3:$M$92=U24)*(Arrangements!$P$3:$P$92&lt;&gt;"OK"))&gt;0,"Arrangement errors",IF(AND(V24&lt;&gt;"",COUNTIF(Annotations!$B$3:$B$46,V24)=0),"Unknown annotationSet",IF(AND(V24&lt;&gt;"",COUNTIFS(Annotations!$B$3:$B$46,V24,Annotations!$F$3:$F$46,"&lt;&gt;OK")&gt;0),"annotationSet errors",IF(K24=0,"No images",IF(COUNTIF($Y$3:$Y$62,Y24)&gt;1,"Duplicate session - change Name or Time",IF(AND(A24&lt;&gt;"",COUNTIF($A$3:$A$62,A24)&gt;1),"Duplicate Exp start","OK"))))))))))))</f>
        <v/>
      </c>
      <c r="O24" s="5" t="str">
        <f t="shared" si="1"/>
        <v/>
      </c>
      <c r="Q24" s="85"/>
      <c r="R24" s="6" t="str">
        <f>IF(B24="","",IFERROR(LOOKUP(2,1/($A$3:A24&lt;&gt;""),$A$3:A24),""))</f>
        <v/>
      </c>
      <c r="S24" s="13" t="str">
        <f t="shared" si="2"/>
        <v/>
      </c>
      <c r="T24" s="6" t="str">
        <f>IF(B24="","",IFERROR(LOOKUP(2,1/(($R$3:R24=R24)*($D$3:D24&lt;&gt;"")),$D$3:D24),""))</f>
        <v/>
      </c>
      <c r="U24" s="6" t="str">
        <f>IF(B24="","",IFERROR(LOOKUP(2,1/(($R$3:R24=R24)*($E$3:E24&lt;&gt;"")),$E$3:E24),""))</f>
        <v/>
      </c>
      <c r="V24" s="6" t="str">
        <f>IF(B24="","",IFERROR(LOOKUP(2,1/(($R$3:R24=R24)*($F$3:F24&lt;&gt;"")),$F$3:F24),""))</f>
        <v/>
      </c>
      <c r="W24" s="6" t="str">
        <f>IF(B24="","",IF(IFERROR(LOOKUP(2,1/(($R$3:R24=R24)*($H$3:H24&lt;&gt;"")),$H$3:H24),"growth")="[none]","",IFERROR(LOOKUP(2,1/(($R$3:R24=R24)*($H$3:H24&lt;&gt;"")),$H$3:H24),"growth")))</f>
        <v/>
      </c>
      <c r="X24" s="6" t="str">
        <f>IF(B24="","",IFERROR(LOOKUP(2,1/(($R$3:R24=R24)*($I$3:I24&lt;&gt;"")),$I$3:I24),".jpg"))</f>
        <v/>
      </c>
      <c r="Y24" s="6" t="str">
        <f t="shared" si="3"/>
        <v/>
      </c>
      <c r="Z24" t="str">
        <f>IF(B24="","",IF(IFERROR(LOOKUP(2,1/(($R$3:R24=R24)*($G$3:G24&lt;&gt;"")),$G$3:G24),"")="[none]","",IFERROR(LOOKUP(2,1/(($R$3:R24=R24)*($G$3:G24&lt;&gt;"")),$G$3:G24),"")))</f>
        <v/>
      </c>
    </row>
    <row r="25" spans="1:26" ht="13.9" thickBot="1">
      <c r="A25" s="113"/>
      <c r="B25" s="114"/>
      <c r="C25" s="113"/>
      <c r="D25" s="113"/>
      <c r="E25" s="113"/>
      <c r="F25" s="113"/>
      <c r="G25" s="85"/>
      <c r="H25" s="113"/>
      <c r="I25" s="113"/>
      <c r="J25" s="113"/>
      <c r="K25" s="5" t="str">
        <f>IF(B25="","",COUNTIF(Arrangements!$M$3:$M$92,U25))</f>
        <v/>
      </c>
      <c r="L25" s="5" t="str">
        <f>IF(OR(B25="",N25&lt;&gt;"OK"),"",1+SUMIFS($K$3:K24,$N$3:N24,"OK"))</f>
        <v/>
      </c>
      <c r="M25" s="5" t="str">
        <f t="shared" si="0"/>
        <v/>
      </c>
      <c r="N25" s="22" t="str">
        <f>IF(B25="","",IF(J25=FALSE,"Excluded",IF(R25="","Missing Exp",IF(NOT(IFERROR(TEXT(DATE(2000+VALUE(RIGHT(B25,2)),VALUE(MID(B25,4,2)),VALUE(LEFT(B25,2))),"dd.mm.yy")=B25,FALSE)),"Invalid date - use dd.mm.yy",IF(U25="","Missing Arrangement",IF(COUNTIF(Arrangements!$M$3:$M$92,U25)=0,"Unknown Arrangement",IF(SUMPRODUCT((Arrangements!$M$3:$M$92=U25)*(Arrangements!$P$3:$P$92&lt;&gt;"OK"))&gt;0,"Arrangement errors",IF(AND(V25&lt;&gt;"",COUNTIF(Annotations!$B$3:$B$46,V25)=0),"Unknown annotationSet",IF(AND(V25&lt;&gt;"",COUNTIFS(Annotations!$B$3:$B$46,V25,Annotations!$F$3:$F$46,"&lt;&gt;OK")&gt;0),"annotationSet errors",IF(K25=0,"No images",IF(COUNTIF($Y$3:$Y$62,Y25)&gt;1,"Duplicate session - change Name or Time",IF(AND(A25&lt;&gt;"",COUNTIF($A$3:$A$62,A25)&gt;1),"Duplicate Exp start","OK"))))))))))))</f>
        <v/>
      </c>
      <c r="O25" s="5" t="str">
        <f t="shared" si="1"/>
        <v/>
      </c>
      <c r="Q25" s="85"/>
      <c r="R25" s="6" t="str">
        <f>IF(B25="","",IFERROR(LOOKUP(2,1/($A$3:A25&lt;&gt;""),$A$3:A25),""))</f>
        <v/>
      </c>
      <c r="S25" s="13" t="str">
        <f t="shared" si="2"/>
        <v/>
      </c>
      <c r="T25" s="6" t="str">
        <f>IF(B25="","",IFERROR(LOOKUP(2,1/(($R$3:R25=R25)*($D$3:D25&lt;&gt;"")),$D$3:D25),""))</f>
        <v/>
      </c>
      <c r="U25" s="6" t="str">
        <f>IF(B25="","",IFERROR(LOOKUP(2,1/(($R$3:R25=R25)*($E$3:E25&lt;&gt;"")),$E$3:E25),""))</f>
        <v/>
      </c>
      <c r="V25" s="6" t="str">
        <f>IF(B25="","",IFERROR(LOOKUP(2,1/(($R$3:R25=R25)*($F$3:F25&lt;&gt;"")),$F$3:F25),""))</f>
        <v/>
      </c>
      <c r="W25" s="6" t="str">
        <f>IF(B25="","",IF(IFERROR(LOOKUP(2,1/(($R$3:R25=R25)*($H$3:H25&lt;&gt;"")),$H$3:H25),"growth")="[none]","",IFERROR(LOOKUP(2,1/(($R$3:R25=R25)*($H$3:H25&lt;&gt;"")),$H$3:H25),"growth")))</f>
        <v/>
      </c>
      <c r="X25" s="6" t="str">
        <f>IF(B25="","",IFERROR(LOOKUP(2,1/(($R$3:R25=R25)*($I$3:I25&lt;&gt;"")),$I$3:I25),".jpg"))</f>
        <v/>
      </c>
      <c r="Y25" s="6" t="str">
        <f t="shared" si="3"/>
        <v/>
      </c>
      <c r="Z25" t="str">
        <f>IF(B25="","",IF(IFERROR(LOOKUP(2,1/(($R$3:R25=R25)*($G$3:G25&lt;&gt;"")),$G$3:G25),"")="[none]","",IFERROR(LOOKUP(2,1/(($R$3:R25=R25)*($G$3:G25&lt;&gt;"")),$G$3:G25),"")))</f>
        <v/>
      </c>
    </row>
    <row r="26" spans="1:26" ht="13.9" thickBot="1">
      <c r="A26" s="113"/>
      <c r="B26" s="114"/>
      <c r="C26" s="113"/>
      <c r="D26" s="113"/>
      <c r="E26" s="113"/>
      <c r="F26" s="113"/>
      <c r="G26" s="85"/>
      <c r="H26" s="113"/>
      <c r="I26" s="113"/>
      <c r="J26" s="113"/>
      <c r="K26" s="5" t="str">
        <f>IF(B26="","",COUNTIF(Arrangements!$M$3:$M$92,U26))</f>
        <v/>
      </c>
      <c r="L26" s="5" t="str">
        <f>IF(OR(B26="",N26&lt;&gt;"OK"),"",1+SUMIFS($K$3:K25,$N$3:N25,"OK"))</f>
        <v/>
      </c>
      <c r="M26" s="5" t="str">
        <f t="shared" si="0"/>
        <v/>
      </c>
      <c r="N26" s="22" t="str">
        <f>IF(B26="","",IF(J26=FALSE,"Excluded",IF(R26="","Missing Exp",IF(NOT(IFERROR(TEXT(DATE(2000+VALUE(RIGHT(B26,2)),VALUE(MID(B26,4,2)),VALUE(LEFT(B26,2))),"dd.mm.yy")=B26,FALSE)),"Invalid date - use dd.mm.yy",IF(U26="","Missing Arrangement",IF(COUNTIF(Arrangements!$M$3:$M$92,U26)=0,"Unknown Arrangement",IF(SUMPRODUCT((Arrangements!$M$3:$M$92=U26)*(Arrangements!$P$3:$P$92&lt;&gt;"OK"))&gt;0,"Arrangement errors",IF(AND(V26&lt;&gt;"",COUNTIF(Annotations!$B$3:$B$46,V26)=0),"Unknown annotationSet",IF(AND(V26&lt;&gt;"",COUNTIFS(Annotations!$B$3:$B$46,V26,Annotations!$F$3:$F$46,"&lt;&gt;OK")&gt;0),"annotationSet errors",IF(K26=0,"No images",IF(COUNTIF($Y$3:$Y$62,Y26)&gt;1,"Duplicate session - change Name or Time",IF(AND(A26&lt;&gt;"",COUNTIF($A$3:$A$62,A26)&gt;1),"Duplicate Exp start","OK"))))))))))))</f>
        <v/>
      </c>
      <c r="O26" s="5" t="str">
        <f t="shared" si="1"/>
        <v/>
      </c>
      <c r="Q26" s="85"/>
      <c r="R26" s="6" t="str">
        <f>IF(B26="","",IFERROR(LOOKUP(2,1/($A$3:A26&lt;&gt;""),$A$3:A26),""))</f>
        <v/>
      </c>
      <c r="S26" s="13" t="str">
        <f t="shared" si="2"/>
        <v/>
      </c>
      <c r="T26" s="6" t="str">
        <f>IF(B26="","",IFERROR(LOOKUP(2,1/(($R$3:R26=R26)*($D$3:D26&lt;&gt;"")),$D$3:D26),""))</f>
        <v/>
      </c>
      <c r="U26" s="6" t="str">
        <f>IF(B26="","",IFERROR(LOOKUP(2,1/(($R$3:R26=R26)*($E$3:E26&lt;&gt;"")),$E$3:E26),""))</f>
        <v/>
      </c>
      <c r="V26" s="6" t="str">
        <f>IF(B26="","",IFERROR(LOOKUP(2,1/(($R$3:R26=R26)*($F$3:F26&lt;&gt;"")),$F$3:F26),""))</f>
        <v/>
      </c>
      <c r="W26" s="6" t="str">
        <f>IF(B26="","",IF(IFERROR(LOOKUP(2,1/(($R$3:R26=R26)*($H$3:H26&lt;&gt;"")),$H$3:H26),"growth")="[none]","",IFERROR(LOOKUP(2,1/(($R$3:R26=R26)*($H$3:H26&lt;&gt;"")),$H$3:H26),"growth")))</f>
        <v/>
      </c>
      <c r="X26" s="6" t="str">
        <f>IF(B26="","",IFERROR(LOOKUP(2,1/(($R$3:R26=R26)*($I$3:I26&lt;&gt;"")),$I$3:I26),".jpg"))</f>
        <v/>
      </c>
      <c r="Y26" s="6" t="str">
        <f t="shared" si="3"/>
        <v/>
      </c>
      <c r="Z26" t="str">
        <f>IF(B26="","",IF(IFERROR(LOOKUP(2,1/(($R$3:R26=R26)*($G$3:G26&lt;&gt;"")),$G$3:G26),"")="[none]","",IFERROR(LOOKUP(2,1/(($R$3:R26=R26)*($G$3:G26&lt;&gt;"")),$G$3:G26),"")))</f>
        <v/>
      </c>
    </row>
    <row r="27" spans="1:26" ht="13.9" thickBot="1">
      <c r="A27" s="113"/>
      <c r="B27" s="114"/>
      <c r="C27" s="113"/>
      <c r="D27" s="113"/>
      <c r="E27" s="113"/>
      <c r="F27" s="113"/>
      <c r="G27" s="85"/>
      <c r="H27" s="113"/>
      <c r="I27" s="113"/>
      <c r="J27" s="113"/>
      <c r="K27" s="5" t="str">
        <f>IF(B27="","",COUNTIF(Arrangements!$M$3:$M$92,U27))</f>
        <v/>
      </c>
      <c r="L27" s="5" t="str">
        <f>IF(OR(B27="",N27&lt;&gt;"OK"),"",1+SUMIFS($K$3:K26,$N$3:N26,"OK"))</f>
        <v/>
      </c>
      <c r="M27" s="5" t="str">
        <f t="shared" si="0"/>
        <v/>
      </c>
      <c r="N27" s="22" t="str">
        <f>IF(B27="","",IF(J27=FALSE,"Excluded",IF(R27="","Missing Exp",IF(NOT(IFERROR(TEXT(DATE(2000+VALUE(RIGHT(B27,2)),VALUE(MID(B27,4,2)),VALUE(LEFT(B27,2))),"dd.mm.yy")=B27,FALSE)),"Invalid date - use dd.mm.yy",IF(U27="","Missing Arrangement",IF(COUNTIF(Arrangements!$M$3:$M$92,U27)=0,"Unknown Arrangement",IF(SUMPRODUCT((Arrangements!$M$3:$M$92=U27)*(Arrangements!$P$3:$P$92&lt;&gt;"OK"))&gt;0,"Arrangement errors",IF(AND(V27&lt;&gt;"",COUNTIF(Annotations!$B$3:$B$46,V27)=0),"Unknown annotationSet",IF(AND(V27&lt;&gt;"",COUNTIFS(Annotations!$B$3:$B$46,V27,Annotations!$F$3:$F$46,"&lt;&gt;OK")&gt;0),"annotationSet errors",IF(K27=0,"No images",IF(COUNTIF($Y$3:$Y$62,Y27)&gt;1,"Duplicate session - change Name or Time",IF(AND(A27&lt;&gt;"",COUNTIF($A$3:$A$62,A27)&gt;1),"Duplicate Exp start","OK"))))))))))))</f>
        <v/>
      </c>
      <c r="O27" s="5" t="str">
        <f t="shared" si="1"/>
        <v/>
      </c>
      <c r="Q27" s="85"/>
      <c r="R27" s="6" t="str">
        <f>IF(B27="","",IFERROR(LOOKUP(2,1/($A$3:A27&lt;&gt;""),$A$3:A27),""))</f>
        <v/>
      </c>
      <c r="S27" s="13" t="str">
        <f t="shared" si="2"/>
        <v/>
      </c>
      <c r="T27" s="6" t="str">
        <f>IF(B27="","",IFERROR(LOOKUP(2,1/(($R$3:R27=R27)*($D$3:D27&lt;&gt;"")),$D$3:D27),""))</f>
        <v/>
      </c>
      <c r="U27" s="6" t="str">
        <f>IF(B27="","",IFERROR(LOOKUP(2,1/(($R$3:R27=R27)*($E$3:E27&lt;&gt;"")),$E$3:E27),""))</f>
        <v/>
      </c>
      <c r="V27" s="6" t="str">
        <f>IF(B27="","",IFERROR(LOOKUP(2,1/(($R$3:R27=R27)*($F$3:F27&lt;&gt;"")),$F$3:F27),""))</f>
        <v/>
      </c>
      <c r="W27" s="6" t="str">
        <f>IF(B27="","",IF(IFERROR(LOOKUP(2,1/(($R$3:R27=R27)*($H$3:H27&lt;&gt;"")),$H$3:H27),"growth")="[none]","",IFERROR(LOOKUP(2,1/(($R$3:R27=R27)*($H$3:H27&lt;&gt;"")),$H$3:H27),"growth")))</f>
        <v/>
      </c>
      <c r="X27" s="6" t="str">
        <f>IF(B27="","",IFERROR(LOOKUP(2,1/(($R$3:R27=R27)*($I$3:I27&lt;&gt;"")),$I$3:I27),".jpg"))</f>
        <v/>
      </c>
      <c r="Y27" s="6" t="str">
        <f t="shared" si="3"/>
        <v/>
      </c>
      <c r="Z27" t="str">
        <f>IF(B27="","",IF(IFERROR(LOOKUP(2,1/(($R$3:R27=R27)*($G$3:G27&lt;&gt;"")),$G$3:G27),"")="[none]","",IFERROR(LOOKUP(2,1/(($R$3:R27=R27)*($G$3:G27&lt;&gt;"")),$G$3:G27),"")))</f>
        <v/>
      </c>
    </row>
    <row r="28" spans="1:26" ht="13.9" thickBot="1">
      <c r="A28" s="113"/>
      <c r="B28" s="114"/>
      <c r="C28" s="113"/>
      <c r="D28" s="113"/>
      <c r="E28" s="113"/>
      <c r="F28" s="113"/>
      <c r="G28" s="85"/>
      <c r="H28" s="113"/>
      <c r="I28" s="113"/>
      <c r="J28" s="113"/>
      <c r="K28" s="5" t="str">
        <f>IF(B28="","",COUNTIF(Arrangements!$M$3:$M$92,U28))</f>
        <v/>
      </c>
      <c r="L28" s="5" t="str">
        <f>IF(OR(B28="",N28&lt;&gt;"OK"),"",1+SUMIFS($K$3:K27,$N$3:N27,"OK"))</f>
        <v/>
      </c>
      <c r="M28" s="5" t="str">
        <f t="shared" si="0"/>
        <v/>
      </c>
      <c r="N28" s="22" t="str">
        <f>IF(B28="","",IF(J28=FALSE,"Excluded",IF(R28="","Missing Exp",IF(NOT(IFERROR(TEXT(DATE(2000+VALUE(RIGHT(B28,2)),VALUE(MID(B28,4,2)),VALUE(LEFT(B28,2))),"dd.mm.yy")=B28,FALSE)),"Invalid date - use dd.mm.yy",IF(U28="","Missing Arrangement",IF(COUNTIF(Arrangements!$M$3:$M$92,U28)=0,"Unknown Arrangement",IF(SUMPRODUCT((Arrangements!$M$3:$M$92=U28)*(Arrangements!$P$3:$P$92&lt;&gt;"OK"))&gt;0,"Arrangement errors",IF(AND(V28&lt;&gt;"",COUNTIF(Annotations!$B$3:$B$46,V28)=0),"Unknown annotationSet",IF(AND(V28&lt;&gt;"",COUNTIFS(Annotations!$B$3:$B$46,V28,Annotations!$F$3:$F$46,"&lt;&gt;OK")&gt;0),"annotationSet errors",IF(K28=0,"No images",IF(COUNTIF($Y$3:$Y$62,Y28)&gt;1,"Duplicate session - change Name or Time",IF(AND(A28&lt;&gt;"",COUNTIF($A$3:$A$62,A28)&gt;1),"Duplicate Exp start","OK"))))))))))))</f>
        <v/>
      </c>
      <c r="O28" s="5" t="str">
        <f t="shared" si="1"/>
        <v/>
      </c>
      <c r="Q28" s="85"/>
      <c r="R28" s="6" t="str">
        <f>IF(B28="","",IFERROR(LOOKUP(2,1/($A$3:A28&lt;&gt;""),$A$3:A28),""))</f>
        <v/>
      </c>
      <c r="S28" s="13" t="str">
        <f t="shared" si="2"/>
        <v/>
      </c>
      <c r="T28" s="6" t="str">
        <f>IF(B28="","",IFERROR(LOOKUP(2,1/(($R$3:R28=R28)*($D$3:D28&lt;&gt;"")),$D$3:D28),""))</f>
        <v/>
      </c>
      <c r="U28" s="6" t="str">
        <f>IF(B28="","",IFERROR(LOOKUP(2,1/(($R$3:R28=R28)*($E$3:E28&lt;&gt;"")),$E$3:E28),""))</f>
        <v/>
      </c>
      <c r="V28" s="6" t="str">
        <f>IF(B28="","",IFERROR(LOOKUP(2,1/(($R$3:R28=R28)*($F$3:F28&lt;&gt;"")),$F$3:F28),""))</f>
        <v/>
      </c>
      <c r="W28" s="6" t="str">
        <f>IF(B28="","",IF(IFERROR(LOOKUP(2,1/(($R$3:R28=R28)*($H$3:H28&lt;&gt;"")),$H$3:H28),"growth")="[none]","",IFERROR(LOOKUP(2,1/(($R$3:R28=R28)*($H$3:H28&lt;&gt;"")),$H$3:H28),"growth")))</f>
        <v/>
      </c>
      <c r="X28" s="6" t="str">
        <f>IF(B28="","",IFERROR(LOOKUP(2,1/(($R$3:R28=R28)*($I$3:I28&lt;&gt;"")),$I$3:I28),".jpg"))</f>
        <v/>
      </c>
      <c r="Y28" s="6" t="str">
        <f t="shared" si="3"/>
        <v/>
      </c>
      <c r="Z28" t="str">
        <f>IF(B28="","",IF(IFERROR(LOOKUP(2,1/(($R$3:R28=R28)*($G$3:G28&lt;&gt;"")),$G$3:G28),"")="[none]","",IFERROR(LOOKUP(2,1/(($R$3:R28=R28)*($G$3:G28&lt;&gt;"")),$G$3:G28),"")))</f>
        <v/>
      </c>
    </row>
    <row r="29" spans="1:26" ht="13.9" thickBot="1">
      <c r="A29" s="113"/>
      <c r="B29" s="114"/>
      <c r="C29" s="113"/>
      <c r="D29" s="113"/>
      <c r="E29" s="113"/>
      <c r="F29" s="113"/>
      <c r="G29" s="85"/>
      <c r="H29" s="113"/>
      <c r="I29" s="113"/>
      <c r="J29" s="113"/>
      <c r="K29" s="5" t="str">
        <f>IF(B29="","",COUNTIF(Arrangements!$M$3:$M$92,U29))</f>
        <v/>
      </c>
      <c r="L29" s="5" t="str">
        <f>IF(OR(B29="",N29&lt;&gt;"OK"),"",1+SUMIFS($K$3:K28,$N$3:N28,"OK"))</f>
        <v/>
      </c>
      <c r="M29" s="5" t="str">
        <f t="shared" si="0"/>
        <v/>
      </c>
      <c r="N29" s="22" t="str">
        <f>IF(B29="","",IF(J29=FALSE,"Excluded",IF(R29="","Missing Exp",IF(NOT(IFERROR(TEXT(DATE(2000+VALUE(RIGHT(B29,2)),VALUE(MID(B29,4,2)),VALUE(LEFT(B29,2))),"dd.mm.yy")=B29,FALSE)),"Invalid date - use dd.mm.yy",IF(U29="","Missing Arrangement",IF(COUNTIF(Arrangements!$M$3:$M$92,U29)=0,"Unknown Arrangement",IF(SUMPRODUCT((Arrangements!$M$3:$M$92=U29)*(Arrangements!$P$3:$P$92&lt;&gt;"OK"))&gt;0,"Arrangement errors",IF(AND(V29&lt;&gt;"",COUNTIF(Annotations!$B$3:$B$46,V29)=0),"Unknown annotationSet",IF(AND(V29&lt;&gt;"",COUNTIFS(Annotations!$B$3:$B$46,V29,Annotations!$F$3:$F$46,"&lt;&gt;OK")&gt;0),"annotationSet errors",IF(K29=0,"No images",IF(COUNTIF($Y$3:$Y$62,Y29)&gt;1,"Duplicate session - change Name or Time",IF(AND(A29&lt;&gt;"",COUNTIF($A$3:$A$62,A29)&gt;1),"Duplicate Exp start","OK"))))))))))))</f>
        <v/>
      </c>
      <c r="O29" s="5" t="str">
        <f t="shared" si="1"/>
        <v/>
      </c>
      <c r="Q29" s="85"/>
      <c r="R29" s="6" t="str">
        <f>IF(B29="","",IFERROR(LOOKUP(2,1/($A$3:A29&lt;&gt;""),$A$3:A29),""))</f>
        <v/>
      </c>
      <c r="S29" s="13" t="str">
        <f t="shared" si="2"/>
        <v/>
      </c>
      <c r="T29" s="6" t="str">
        <f>IF(B29="","",IFERROR(LOOKUP(2,1/(($R$3:R29=R29)*($D$3:D29&lt;&gt;"")),$D$3:D29),""))</f>
        <v/>
      </c>
      <c r="U29" s="6" t="str">
        <f>IF(B29="","",IFERROR(LOOKUP(2,1/(($R$3:R29=R29)*($E$3:E29&lt;&gt;"")),$E$3:E29),""))</f>
        <v/>
      </c>
      <c r="V29" s="6" t="str">
        <f>IF(B29="","",IFERROR(LOOKUP(2,1/(($R$3:R29=R29)*($F$3:F29&lt;&gt;"")),$F$3:F29),""))</f>
        <v/>
      </c>
      <c r="W29" s="6" t="str">
        <f>IF(B29="","",IF(IFERROR(LOOKUP(2,1/(($R$3:R29=R29)*($H$3:H29&lt;&gt;"")),$H$3:H29),"growth")="[none]","",IFERROR(LOOKUP(2,1/(($R$3:R29=R29)*($H$3:H29&lt;&gt;"")),$H$3:H29),"growth")))</f>
        <v/>
      </c>
      <c r="X29" s="6" t="str">
        <f>IF(B29="","",IFERROR(LOOKUP(2,1/(($R$3:R29=R29)*($I$3:I29&lt;&gt;"")),$I$3:I29),".jpg"))</f>
        <v/>
      </c>
      <c r="Y29" s="6" t="str">
        <f t="shared" si="3"/>
        <v/>
      </c>
      <c r="Z29" t="str">
        <f>IF(B29="","",IF(IFERROR(LOOKUP(2,1/(($R$3:R29=R29)*($G$3:G29&lt;&gt;"")),$G$3:G29),"")="[none]","",IFERROR(LOOKUP(2,1/(($R$3:R29=R29)*($G$3:G29&lt;&gt;"")),$G$3:G29),"")))</f>
        <v/>
      </c>
    </row>
    <row r="30" spans="1:26" ht="13.9" thickBot="1">
      <c r="A30" s="113"/>
      <c r="B30" s="114"/>
      <c r="C30" s="113"/>
      <c r="D30" s="113"/>
      <c r="E30" s="113"/>
      <c r="F30" s="113"/>
      <c r="G30" s="85"/>
      <c r="H30" s="113"/>
      <c r="I30" s="113"/>
      <c r="J30" s="113"/>
      <c r="K30" s="5" t="str">
        <f>IF(B30="","",COUNTIF(Arrangements!$M$3:$M$92,U30))</f>
        <v/>
      </c>
      <c r="L30" s="5" t="str">
        <f>IF(OR(B30="",N30&lt;&gt;"OK"),"",1+SUMIFS($K$3:K29,$N$3:N29,"OK"))</f>
        <v/>
      </c>
      <c r="M30" s="5" t="str">
        <f t="shared" si="0"/>
        <v/>
      </c>
      <c r="N30" s="22" t="str">
        <f>IF(B30="","",IF(J30=FALSE,"Excluded",IF(R30="","Missing Exp",IF(NOT(IFERROR(TEXT(DATE(2000+VALUE(RIGHT(B30,2)),VALUE(MID(B30,4,2)),VALUE(LEFT(B30,2))),"dd.mm.yy")=B30,FALSE)),"Invalid date - use dd.mm.yy",IF(U30="","Missing Arrangement",IF(COUNTIF(Arrangements!$M$3:$M$92,U30)=0,"Unknown Arrangement",IF(SUMPRODUCT((Arrangements!$M$3:$M$92=U30)*(Arrangements!$P$3:$P$92&lt;&gt;"OK"))&gt;0,"Arrangement errors",IF(AND(V30&lt;&gt;"",COUNTIF(Annotations!$B$3:$B$46,V30)=0),"Unknown annotationSet",IF(AND(V30&lt;&gt;"",COUNTIFS(Annotations!$B$3:$B$46,V30,Annotations!$F$3:$F$46,"&lt;&gt;OK")&gt;0),"annotationSet errors",IF(K30=0,"No images",IF(COUNTIF($Y$3:$Y$62,Y30)&gt;1,"Duplicate session - change Name or Time",IF(AND(A30&lt;&gt;"",COUNTIF($A$3:$A$62,A30)&gt;1),"Duplicate Exp start","OK"))))))))))))</f>
        <v/>
      </c>
      <c r="O30" s="5" t="str">
        <f t="shared" si="1"/>
        <v/>
      </c>
      <c r="Q30" s="85"/>
      <c r="R30" s="6" t="str">
        <f>IF(B30="","",IFERROR(LOOKUP(2,1/($A$3:A30&lt;&gt;""),$A$3:A30),""))</f>
        <v/>
      </c>
      <c r="S30" s="13" t="str">
        <f t="shared" si="2"/>
        <v/>
      </c>
      <c r="T30" s="6" t="str">
        <f>IF(B30="","",IFERROR(LOOKUP(2,1/(($R$3:R30=R30)*($D$3:D30&lt;&gt;"")),$D$3:D30),""))</f>
        <v/>
      </c>
      <c r="U30" s="6" t="str">
        <f>IF(B30="","",IFERROR(LOOKUP(2,1/(($R$3:R30=R30)*($E$3:E30&lt;&gt;"")),$E$3:E30),""))</f>
        <v/>
      </c>
      <c r="V30" s="6" t="str">
        <f>IF(B30="","",IFERROR(LOOKUP(2,1/(($R$3:R30=R30)*($F$3:F30&lt;&gt;"")),$F$3:F30),""))</f>
        <v/>
      </c>
      <c r="W30" s="6" t="str">
        <f>IF(B30="","",IF(IFERROR(LOOKUP(2,1/(($R$3:R30=R30)*($H$3:H30&lt;&gt;"")),$H$3:H30),"growth")="[none]","",IFERROR(LOOKUP(2,1/(($R$3:R30=R30)*($H$3:H30&lt;&gt;"")),$H$3:H30),"growth")))</f>
        <v/>
      </c>
      <c r="X30" s="6" t="str">
        <f>IF(B30="","",IFERROR(LOOKUP(2,1/(($R$3:R30=R30)*($I$3:I30&lt;&gt;"")),$I$3:I30),".jpg"))</f>
        <v/>
      </c>
      <c r="Y30" s="6" t="str">
        <f t="shared" si="3"/>
        <v/>
      </c>
      <c r="Z30" t="str">
        <f>IF(B30="","",IF(IFERROR(LOOKUP(2,1/(($R$3:R30=R30)*($G$3:G30&lt;&gt;"")),$G$3:G30),"")="[none]","",IFERROR(LOOKUP(2,1/(($R$3:R30=R30)*($G$3:G30&lt;&gt;"")),$G$3:G30),"")))</f>
        <v/>
      </c>
    </row>
    <row r="31" spans="1:26" ht="13.9" thickBot="1">
      <c r="A31" s="113"/>
      <c r="B31" s="114"/>
      <c r="C31" s="113"/>
      <c r="D31" s="113"/>
      <c r="E31" s="113"/>
      <c r="F31" s="113"/>
      <c r="G31" s="85"/>
      <c r="H31" s="113"/>
      <c r="I31" s="113"/>
      <c r="J31" s="113"/>
      <c r="K31" s="5" t="str">
        <f>IF(B31="","",COUNTIF(Arrangements!$M$3:$M$92,U31))</f>
        <v/>
      </c>
      <c r="L31" s="5" t="str">
        <f>IF(OR(B31="",N31&lt;&gt;"OK"),"",1+SUMIFS($K$3:K30,$N$3:N30,"OK"))</f>
        <v/>
      </c>
      <c r="M31" s="5" t="str">
        <f t="shared" si="0"/>
        <v/>
      </c>
      <c r="N31" s="22" t="str">
        <f>IF(B31="","",IF(J31=FALSE,"Excluded",IF(R31="","Missing Exp",IF(NOT(IFERROR(TEXT(DATE(2000+VALUE(RIGHT(B31,2)),VALUE(MID(B31,4,2)),VALUE(LEFT(B31,2))),"dd.mm.yy")=B31,FALSE)),"Invalid date - use dd.mm.yy",IF(U31="","Missing Arrangement",IF(COUNTIF(Arrangements!$M$3:$M$92,U31)=0,"Unknown Arrangement",IF(SUMPRODUCT((Arrangements!$M$3:$M$92=U31)*(Arrangements!$P$3:$P$92&lt;&gt;"OK"))&gt;0,"Arrangement errors",IF(AND(V31&lt;&gt;"",COUNTIF(Annotations!$B$3:$B$46,V31)=0),"Unknown annotationSet",IF(AND(V31&lt;&gt;"",COUNTIFS(Annotations!$B$3:$B$46,V31,Annotations!$F$3:$F$46,"&lt;&gt;OK")&gt;0),"annotationSet errors",IF(K31=0,"No images",IF(COUNTIF($Y$3:$Y$62,Y31)&gt;1,"Duplicate session - change Name or Time",IF(AND(A31&lt;&gt;"",COUNTIF($A$3:$A$62,A31)&gt;1),"Duplicate Exp start","OK"))))))))))))</f>
        <v/>
      </c>
      <c r="O31" s="5" t="str">
        <f t="shared" si="1"/>
        <v/>
      </c>
      <c r="Q31" s="85"/>
      <c r="R31" s="6" t="str">
        <f>IF(B31="","",IFERROR(LOOKUP(2,1/($A$3:A31&lt;&gt;""),$A$3:A31),""))</f>
        <v/>
      </c>
      <c r="S31" s="13" t="str">
        <f t="shared" si="2"/>
        <v/>
      </c>
      <c r="T31" s="6" t="str">
        <f>IF(B31="","",IFERROR(LOOKUP(2,1/(($R$3:R31=R31)*($D$3:D31&lt;&gt;"")),$D$3:D31),""))</f>
        <v/>
      </c>
      <c r="U31" s="6" t="str">
        <f>IF(B31="","",IFERROR(LOOKUP(2,1/(($R$3:R31=R31)*($E$3:E31&lt;&gt;"")),$E$3:E31),""))</f>
        <v/>
      </c>
      <c r="V31" s="6" t="str">
        <f>IF(B31="","",IFERROR(LOOKUP(2,1/(($R$3:R31=R31)*($F$3:F31&lt;&gt;"")),$F$3:F31),""))</f>
        <v/>
      </c>
      <c r="W31" s="6" t="str">
        <f>IF(B31="","",IF(IFERROR(LOOKUP(2,1/(($R$3:R31=R31)*($H$3:H31&lt;&gt;"")),$H$3:H31),"growth")="[none]","",IFERROR(LOOKUP(2,1/(($R$3:R31=R31)*($H$3:H31&lt;&gt;"")),$H$3:H31),"growth")))</f>
        <v/>
      </c>
      <c r="X31" s="6" t="str">
        <f>IF(B31="","",IFERROR(LOOKUP(2,1/(($R$3:R31=R31)*($I$3:I31&lt;&gt;"")),$I$3:I31),".jpg"))</f>
        <v/>
      </c>
      <c r="Y31" s="6" t="str">
        <f t="shared" si="3"/>
        <v/>
      </c>
      <c r="Z31" t="str">
        <f>IF(B31="","",IF(IFERROR(LOOKUP(2,1/(($R$3:R31=R31)*($G$3:G31&lt;&gt;"")),$G$3:G31),"")="[none]","",IFERROR(LOOKUP(2,1/(($R$3:R31=R31)*($G$3:G31&lt;&gt;"")),$G$3:G31),"")))</f>
        <v/>
      </c>
    </row>
    <row r="32" spans="1:26">
      <c r="A32" s="113"/>
      <c r="B32" s="114"/>
      <c r="C32" s="113"/>
      <c r="D32" s="113"/>
      <c r="E32" s="113"/>
      <c r="F32" s="113"/>
      <c r="G32" s="85"/>
      <c r="H32" s="113"/>
      <c r="I32" s="113"/>
      <c r="J32" s="113"/>
      <c r="K32" s="5" t="str">
        <f>IF(B32="","",COUNTIF(Arrangements!$M$3:$M$92,U32))</f>
        <v/>
      </c>
      <c r="L32" s="5" t="str">
        <f>IF(OR(B32="",N32&lt;&gt;"OK"),"",1+SUMIFS($K$3:K31,$N$3:N31,"OK"))</f>
        <v/>
      </c>
      <c r="M32" s="5" t="str">
        <f t="shared" si="0"/>
        <v/>
      </c>
      <c r="N32" s="22" t="str">
        <f>IF(B32="","",IF(J32=FALSE,"Excluded",IF(R32="","Missing Exp",IF(NOT(IFERROR(TEXT(DATE(2000+VALUE(RIGHT(B32,2)),VALUE(MID(B32,4,2)),VALUE(LEFT(B32,2))),"dd.mm.yy")=B32,FALSE)),"Invalid date - use dd.mm.yy",IF(U32="","Missing Arrangement",IF(COUNTIF(Arrangements!$M$3:$M$92,U32)=0,"Unknown Arrangement",IF(SUMPRODUCT((Arrangements!$M$3:$M$92=U32)*(Arrangements!$P$3:$P$92&lt;&gt;"OK"))&gt;0,"Arrangement errors",IF(AND(V32&lt;&gt;"",COUNTIF(Annotations!$B$3:$B$46,V32)=0),"Unknown annotationSet",IF(AND(V32&lt;&gt;"",COUNTIFS(Annotations!$B$3:$B$46,V32,Annotations!$F$3:$F$46,"&lt;&gt;OK")&gt;0),"annotationSet errors",IF(K32=0,"No images",IF(COUNTIF($Y$3:$Y$62,Y32)&gt;1,"Duplicate session - change Name or Time",IF(AND(A32&lt;&gt;"",COUNTIF($A$3:$A$62,A32)&gt;1),"Duplicate Exp start","OK"))))))))))))</f>
        <v/>
      </c>
      <c r="O32" s="5" t="str">
        <f t="shared" si="1"/>
        <v/>
      </c>
      <c r="Q32" s="85"/>
      <c r="R32" s="6" t="str">
        <f>IF(B32="","",IFERROR(LOOKUP(2,1/($A$3:A32&lt;&gt;""),$A$3:A32),""))</f>
        <v/>
      </c>
      <c r="S32" s="13" t="str">
        <f t="shared" si="2"/>
        <v/>
      </c>
      <c r="T32" s="6" t="str">
        <f>IF(B32="","",IFERROR(LOOKUP(2,1/(($R$3:R32=R32)*($D$3:D32&lt;&gt;"")),$D$3:D32),""))</f>
        <v/>
      </c>
      <c r="U32" s="6" t="str">
        <f>IF(B32="","",IFERROR(LOOKUP(2,1/(($R$3:R32=R32)*($E$3:E32&lt;&gt;"")),$E$3:E32),""))</f>
        <v/>
      </c>
      <c r="V32" s="6" t="str">
        <f>IF(B32="","",IFERROR(LOOKUP(2,1/(($R$3:R32=R32)*($F$3:F32&lt;&gt;"")),$F$3:F32),""))</f>
        <v/>
      </c>
      <c r="W32" s="6" t="str">
        <f>IF(B32="","",IF(IFERROR(LOOKUP(2,1/(($R$3:R32=R32)*($H$3:H32&lt;&gt;"")),$H$3:H32),"growth")="[none]","",IFERROR(LOOKUP(2,1/(($R$3:R32=R32)*($H$3:H32&lt;&gt;"")),$H$3:H32),"growth")))</f>
        <v/>
      </c>
      <c r="X32" s="6" t="str">
        <f>IF(B32="","",IFERROR(LOOKUP(2,1/(($R$3:R32=R32)*($I$3:I32&lt;&gt;"")),$I$3:I32),".jpg"))</f>
        <v/>
      </c>
      <c r="Y32" s="6" t="str">
        <f t="shared" si="3"/>
        <v/>
      </c>
      <c r="Z32" t="str">
        <f>IF(B32="","",IF(IFERROR(LOOKUP(2,1/(($R$3:R32=R32)*($G$3:G32&lt;&gt;"")),$G$3:G32),"")="[none]","",IFERROR(LOOKUP(2,1/(($R$3:R32=R32)*($G$3:G32&lt;&gt;"")),$G$3:G32),"")))</f>
        <v/>
      </c>
    </row>
    <row r="33" spans="7:26">
      <c r="G33" s="85"/>
      <c r="Q33" s="85"/>
      <c r="Z33" t="str">
        <f>IF(B33="","",IF(IFERROR(LOOKUP(2,1/(($R$3:R33=R33)*($G$3:G33&lt;&gt;"")),$G$3:G33),"")="[none]","",IFERROR(LOOKUP(2,1/(($R$3:R33=R33)*($G$3:G33&lt;&gt;"")),$G$3:G33),"")))</f>
        <v/>
      </c>
    </row>
    <row r="34" spans="7:26">
      <c r="G34" s="85"/>
      <c r="Q34" s="85"/>
      <c r="Z34" t="str">
        <f>IF(B34="","",IF(IFERROR(LOOKUP(2,1/(($R$3:R34=R34)*($G$3:G34&lt;&gt;"")),$G$3:G34),"")="[none]","",IFERROR(LOOKUP(2,1/(($R$3:R34=R34)*($G$3:G34&lt;&gt;"")),$G$3:G34),"")))</f>
        <v/>
      </c>
    </row>
    <row r="35" spans="7:26">
      <c r="G35" s="85"/>
      <c r="Q35" s="85"/>
      <c r="Z35" t="str">
        <f>IF(B35="","",IF(IFERROR(LOOKUP(2,1/(($R$3:R35=R35)*($G$3:G35&lt;&gt;"")),$G$3:G35),"")="[none]","",IFERROR(LOOKUP(2,1/(($R$3:R35=R35)*($G$3:G35&lt;&gt;"")),$G$3:G35),"")))</f>
        <v/>
      </c>
    </row>
    <row r="36" spans="7:26">
      <c r="G36" s="85"/>
      <c r="Q36" s="85"/>
      <c r="Z36" t="str">
        <f>IF(B36="","",IF(IFERROR(LOOKUP(2,1/(($R$3:R36=R36)*($G$3:G36&lt;&gt;"")),$G$3:G36),"")="[none]","",IFERROR(LOOKUP(2,1/(($R$3:R36=R36)*($G$3:G36&lt;&gt;"")),$G$3:G36),"")))</f>
        <v/>
      </c>
    </row>
    <row r="37" spans="7:26">
      <c r="G37" s="85"/>
      <c r="Q37" s="85"/>
      <c r="Z37" t="str">
        <f>IF(B37="","",IF(IFERROR(LOOKUP(2,1/(($R$3:R37=R37)*($G$3:G37&lt;&gt;"")),$G$3:G37),"")="[none]","",IFERROR(LOOKUP(2,1/(($R$3:R37=R37)*($G$3:G37&lt;&gt;"")),$G$3:G37),"")))</f>
        <v/>
      </c>
    </row>
    <row r="38" spans="7:26">
      <c r="G38" s="85"/>
      <c r="Q38" s="85"/>
      <c r="Z38" t="str">
        <f>IF(B38="","",IF(IFERROR(LOOKUP(2,1/(($R$3:R38=R38)*($G$3:G38&lt;&gt;"")),$G$3:G38),"")="[none]","",IFERROR(LOOKUP(2,1/(($R$3:R38=R38)*($G$3:G38&lt;&gt;"")),$G$3:G38),"")))</f>
        <v/>
      </c>
    </row>
    <row r="39" spans="7:26">
      <c r="G39" s="85"/>
      <c r="Q39" s="85"/>
      <c r="Z39" t="str">
        <f>IF(B39="","",IF(IFERROR(LOOKUP(2,1/(($R$3:R39=R39)*($G$3:G39&lt;&gt;"")),$G$3:G39),"")="[none]","",IFERROR(LOOKUP(2,1/(($R$3:R39=R39)*($G$3:G39&lt;&gt;"")),$G$3:G39),"")))</f>
        <v/>
      </c>
    </row>
    <row r="40" spans="7:26">
      <c r="G40" s="85"/>
      <c r="Q40" s="85"/>
      <c r="Z40" t="str">
        <f>IF(B40="","",IF(IFERROR(LOOKUP(2,1/(($R$3:R40=R40)*($G$3:G40&lt;&gt;"")),$G$3:G40),"")="[none]","",IFERROR(LOOKUP(2,1/(($R$3:R40=R40)*($G$3:G40&lt;&gt;"")),$G$3:G40),"")))</f>
        <v/>
      </c>
    </row>
    <row r="41" spans="7:26">
      <c r="G41" s="85"/>
      <c r="Q41" s="85"/>
      <c r="Z41" t="str">
        <f>IF(B41="","",IF(IFERROR(LOOKUP(2,1/(($R$3:R41=R41)*($G$3:G41&lt;&gt;"")),$G$3:G41),"")="[none]","",IFERROR(LOOKUP(2,1/(($R$3:R41=R41)*($G$3:G41&lt;&gt;"")),$G$3:G41),"")))</f>
        <v/>
      </c>
    </row>
    <row r="42" spans="7:26">
      <c r="G42" s="85"/>
      <c r="Q42" s="85"/>
      <c r="Z42" t="str">
        <f>IF(B42="","",IF(IFERROR(LOOKUP(2,1/(($R$3:R42=R42)*($G$3:G42&lt;&gt;"")),$G$3:G42),"")="[none]","",IFERROR(LOOKUP(2,1/(($R$3:R42=R42)*($G$3:G42&lt;&gt;"")),$G$3:G42),"")))</f>
        <v/>
      </c>
    </row>
    <row r="43" spans="7:26">
      <c r="G43" s="85"/>
      <c r="Q43" s="85"/>
      <c r="Z43" t="str">
        <f>IF(B43="","",IF(IFERROR(LOOKUP(2,1/(($R$3:R43=R43)*($G$3:G43&lt;&gt;"")),$G$3:G43),"")="[none]","",IFERROR(LOOKUP(2,1/(($R$3:R43=R43)*($G$3:G43&lt;&gt;"")),$G$3:G43),"")))</f>
        <v/>
      </c>
    </row>
    <row r="44" spans="7:26">
      <c r="G44" s="85"/>
      <c r="Q44" s="85"/>
      <c r="Z44" t="str">
        <f>IF(B44="","",IF(IFERROR(LOOKUP(2,1/(($R$3:R44=R44)*($G$3:G44&lt;&gt;"")),$G$3:G44),"")="[none]","",IFERROR(LOOKUP(2,1/(($R$3:R44=R44)*($G$3:G44&lt;&gt;"")),$G$3:G44),"")))</f>
        <v/>
      </c>
    </row>
    <row r="45" spans="7:26">
      <c r="G45" s="85"/>
      <c r="Q45" s="85"/>
      <c r="Z45" t="str">
        <f>IF(B45="","",IF(IFERROR(LOOKUP(2,1/(($R$3:R45=R45)*($G$3:G45&lt;&gt;"")),$G$3:G45),"")="[none]","",IFERROR(LOOKUP(2,1/(($R$3:R45=R45)*($G$3:G45&lt;&gt;"")),$G$3:G45),"")))</f>
        <v/>
      </c>
    </row>
    <row r="46" spans="7:26">
      <c r="G46" s="85"/>
      <c r="Q46" s="85"/>
      <c r="Z46" t="str">
        <f>IF(B46="","",IF(IFERROR(LOOKUP(2,1/(($R$3:R46=R46)*($G$3:G46&lt;&gt;"")),$G$3:G46),"")="[none]","",IFERROR(LOOKUP(2,1/(($R$3:R46=R46)*($G$3:G46&lt;&gt;"")),$G$3:G46),"")))</f>
        <v/>
      </c>
    </row>
    <row r="47" spans="7:26">
      <c r="G47" s="85"/>
      <c r="Q47" s="85"/>
      <c r="Z47" t="str">
        <f>IF(B47="","",IF(IFERROR(LOOKUP(2,1/(($R$3:R47=R47)*($G$3:G47&lt;&gt;"")),$G$3:G47),"")="[none]","",IFERROR(LOOKUP(2,1/(($R$3:R47=R47)*($G$3:G47&lt;&gt;"")),$G$3:G47),"")))</f>
        <v/>
      </c>
    </row>
    <row r="48" spans="7:26">
      <c r="G48" s="85"/>
      <c r="Q48" s="85"/>
      <c r="Z48" t="str">
        <f>IF(B48="","",IF(IFERROR(LOOKUP(2,1/(($R$3:R48=R48)*($G$3:G48&lt;&gt;"")),$G$3:G48),"")="[none]","",IFERROR(LOOKUP(2,1/(($R$3:R48=R48)*($G$3:G48&lt;&gt;"")),$G$3:G48),"")))</f>
        <v/>
      </c>
    </row>
    <row r="49" spans="7:26">
      <c r="G49" s="85"/>
      <c r="Q49" s="85"/>
      <c r="Z49" t="str">
        <f>IF(B49="","",IF(IFERROR(LOOKUP(2,1/(($R$3:R49=R49)*($G$3:G49&lt;&gt;"")),$G$3:G49),"")="[none]","",IFERROR(LOOKUP(2,1/(($R$3:R49=R49)*($G$3:G49&lt;&gt;"")),$G$3:G49),"")))</f>
        <v/>
      </c>
    </row>
    <row r="50" spans="7:26">
      <c r="G50" s="85"/>
      <c r="Q50" s="85"/>
      <c r="Z50" t="str">
        <f>IF(B50="","",IF(IFERROR(LOOKUP(2,1/(($R$3:R50=R50)*($G$3:G50&lt;&gt;"")),$G$3:G50),"")="[none]","",IFERROR(LOOKUP(2,1/(($R$3:R50=R50)*($G$3:G50&lt;&gt;"")),$G$3:G50),"")))</f>
        <v/>
      </c>
    </row>
    <row r="51" spans="7:26">
      <c r="G51" s="85"/>
      <c r="Q51" s="85"/>
      <c r="Z51" t="str">
        <f>IF(B51="","",IF(IFERROR(LOOKUP(2,1/(($R$3:R51=R51)*($G$3:G51&lt;&gt;"")),$G$3:G51),"")="[none]","",IFERROR(LOOKUP(2,1/(($R$3:R51=R51)*($G$3:G51&lt;&gt;"")),$G$3:G51),"")))</f>
        <v/>
      </c>
    </row>
    <row r="52" spans="7:26">
      <c r="G52" s="85"/>
      <c r="Q52" s="85"/>
      <c r="Z52" t="str">
        <f>IF(B52="","",IF(IFERROR(LOOKUP(2,1/(($R$3:R52=R52)*($G$3:G52&lt;&gt;"")),$G$3:G52),"")="[none]","",IFERROR(LOOKUP(2,1/(($R$3:R52=R52)*($G$3:G52&lt;&gt;"")),$G$3:G52),"")))</f>
        <v/>
      </c>
    </row>
    <row r="53" spans="7:26">
      <c r="G53" s="85"/>
      <c r="Q53" s="85"/>
      <c r="Z53" t="str">
        <f>IF(B53="","",IF(IFERROR(LOOKUP(2,1/(($R$3:R53=R53)*($G$3:G53&lt;&gt;"")),$G$3:G53),"")="[none]","",IFERROR(LOOKUP(2,1/(($R$3:R53=R53)*($G$3:G53&lt;&gt;"")),$G$3:G53),"")))</f>
        <v/>
      </c>
    </row>
    <row r="54" spans="7:26">
      <c r="G54" s="85"/>
      <c r="Q54" s="85"/>
      <c r="Z54" t="str">
        <f>IF(B54="","",IF(IFERROR(LOOKUP(2,1/(($R$3:R54=R54)*($G$3:G54&lt;&gt;"")),$G$3:G54),"")="[none]","",IFERROR(LOOKUP(2,1/(($R$3:R54=R54)*($G$3:G54&lt;&gt;"")),$G$3:G54),"")))</f>
        <v/>
      </c>
    </row>
    <row r="55" spans="7:26">
      <c r="G55" s="85"/>
      <c r="Q55" s="85"/>
      <c r="Z55" t="str">
        <f>IF(B55="","",IF(IFERROR(LOOKUP(2,1/(($R$3:R55=R55)*($G$3:G55&lt;&gt;"")),$G$3:G55),"")="[none]","",IFERROR(LOOKUP(2,1/(($R$3:R55=R55)*($G$3:G55&lt;&gt;"")),$G$3:G55),"")))</f>
        <v/>
      </c>
    </row>
    <row r="56" spans="7:26">
      <c r="G56" s="85"/>
      <c r="Q56" s="85"/>
      <c r="Z56" t="str">
        <f>IF(B56="","",IF(IFERROR(LOOKUP(2,1/(($R$3:R56=R56)*($G$3:G56&lt;&gt;"")),$G$3:G56),"")="[none]","",IFERROR(LOOKUP(2,1/(($R$3:R56=R56)*($G$3:G56&lt;&gt;"")),$G$3:G56),"")))</f>
        <v/>
      </c>
    </row>
    <row r="57" spans="7:26">
      <c r="G57" s="85"/>
      <c r="Q57" s="85"/>
      <c r="Z57" t="str">
        <f>IF(B57="","",IF(IFERROR(LOOKUP(2,1/(($R$3:R57=R57)*($G$3:G57&lt;&gt;"")),$G$3:G57),"")="[none]","",IFERROR(LOOKUP(2,1/(($R$3:R57=R57)*($G$3:G57&lt;&gt;"")),$G$3:G57),"")))</f>
        <v/>
      </c>
    </row>
    <row r="58" spans="7:26">
      <c r="G58" s="85"/>
      <c r="Q58" s="85"/>
      <c r="Z58" t="str">
        <f>IF(B58="","",IF(IFERROR(LOOKUP(2,1/(($R$3:R58=R58)*($G$3:G58&lt;&gt;"")),$G$3:G58),"")="[none]","",IFERROR(LOOKUP(2,1/(($R$3:R58=R58)*($G$3:G58&lt;&gt;"")),$G$3:G58),"")))</f>
        <v/>
      </c>
    </row>
    <row r="59" spans="7:26">
      <c r="G59" s="85"/>
      <c r="Q59" s="85"/>
      <c r="Z59" t="str">
        <f>IF(B59="","",IF(IFERROR(LOOKUP(2,1/(($R$3:R59=R59)*($G$3:G59&lt;&gt;"")),$G$3:G59),"")="[none]","",IFERROR(LOOKUP(2,1/(($R$3:R59=R59)*($G$3:G59&lt;&gt;"")),$G$3:G59),"")))</f>
        <v/>
      </c>
    </row>
    <row r="60" spans="7:26">
      <c r="G60" s="85"/>
      <c r="Q60" s="85"/>
      <c r="Z60" t="str">
        <f>IF(B60="","",IF(IFERROR(LOOKUP(2,1/(($R$3:R60=R60)*($G$3:G60&lt;&gt;"")),$G$3:G60),"")="[none]","",IFERROR(LOOKUP(2,1/(($R$3:R60=R60)*($G$3:G60&lt;&gt;"")),$G$3:G60),"")))</f>
        <v/>
      </c>
    </row>
    <row r="61" spans="7:26">
      <c r="G61" s="85"/>
      <c r="Q61" s="85"/>
      <c r="Z61" t="str">
        <f>IF(B61="","",IF(IFERROR(LOOKUP(2,1/(($R$3:R61=R61)*($G$3:G61&lt;&gt;"")),$G$3:G61),"")="[none]","",IFERROR(LOOKUP(2,1/(($R$3:R61=R61)*($G$3:G61&lt;&gt;"")),$G$3:G61),"")))</f>
        <v/>
      </c>
    </row>
    <row r="62" spans="7:26">
      <c r="G62" s="85"/>
      <c r="Q62" s="85"/>
      <c r="Z62" t="str">
        <f>IF(B62="","",IF(IFERROR(LOOKUP(2,1/(($R$3:R62=R62)*($G$3:G62&lt;&gt;"")),$G$3:G62),"")="[none]","",IFERROR(LOOKUP(2,1/(($R$3:R62=R62)*($G$3:G62&lt;&gt;"")),$G$3:G62),"")))</f>
        <v/>
      </c>
    </row>
  </sheetData>
  <autoFilter ref="A2:O62" xr:uid="{00000000-0001-0000-0000-000000000000}"/>
  <mergeCells count="3">
    <mergeCell ref="A1:O1"/>
    <mergeCell ref="P1:Q1"/>
    <mergeCell ref="R1:Y1"/>
  </mergeCells>
  <conditionalFormatting sqref="N3:N32">
    <cfRule type="containsText" dxfId="10" priority="26" operator="containsText" text="OK"/>
    <cfRule type="containsText" dxfId="9" priority="27" operator="containsText" text="Excluded"/>
    <cfRule type="expression" dxfId="8" priority="28">
      <formula>AND($N3&lt;&gt;"",$N3&lt;&gt;"OK",$N3&lt;&gt;"Excluded")</formula>
    </cfRule>
  </conditionalFormatting>
  <conditionalFormatting sqref="A3:Z62">
    <cfRule type="expression" dxfId="7" priority="30" stopIfTrue="1">
      <formula>AND($AZ$1=TRUE,CELL("row")=ROW())</formula>
    </cfRule>
    <cfRule type="expression" dxfId="6" priority="1" stopIfTrue="1">
      <formula>AND($AZ$1=TRUE,ROW()=CELL("row"),COLUMN()=CELL("col"))</formula>
    </cfRule>
  </conditionalFormatting>
  <dataValidations count="2">
    <dataValidation type="list" sqref="I3:I32" xr:uid="{00000000-0002-0000-0000-000000000000}">
      <formula1>".jpg,.jpeg,.png,.tif,.tiff"</formula1>
    </dataValidation>
    <dataValidation type="list" sqref="AZ1:BA1 J3:J32" xr:uid="{00000000-0002-0000-0000-000001000000}">
      <formula1>"true,false"</formula1>
    </dataValidation>
  </dataValidations>
  <pageMargins left="0.7" right="0.7" top="0.75" bottom="0.75" header="0.3" footer="0.3"/>
  <pageSetup paperSize="9" orientation="portrait" horizontalDpi="4294967294" verticalDpi="429496729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69" r:id="rId4" name="PWBTN_State">
              <controlPr defaultSize="0" print="0" autoFill="0" autoPict="0" macro="[0]!PWToggleLiveState">
                <anchor>
                  <from>
                    <xdr:col>15</xdr:col>
                    <xdr:colOff>38100</xdr:colOff>
                    <xdr:row>1</xdr:row>
                    <xdr:rowOff>38100</xdr:rowOff>
                  </from>
                  <to>
                    <xdr:col>15</xdr:col>
                    <xdr:colOff>1371600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5" name="PWBTN_Sync">
              <controlPr defaultSize="0" print="0" autoFill="0" autoPict="0" macro="[0]!PWSyncNow">
                <anchor>
                  <from>
                    <xdr:col>15</xdr:col>
                    <xdr:colOff>38100</xdr:colOff>
                    <xdr:row>2</xdr:row>
                    <xdr:rowOff>76200</xdr:rowOff>
                  </from>
                  <to>
                    <xdr:col>15</xdr:col>
                    <xdr:colOff>1371600</xdr:colOff>
                    <xdr:row>4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6" name="PWBTN_NewExperiment">
              <controlPr defaultSize="0" print="0" autoFill="0" autoPict="0" macro="[0]!PWNewExperiment">
                <anchor>
                  <from>
                    <xdr:col>15</xdr:col>
                    <xdr:colOff>38100</xdr:colOff>
                    <xdr:row>4</xdr:row>
                    <xdr:rowOff>42863</xdr:rowOff>
                  </from>
                  <to>
                    <xdr:col>15</xdr:col>
                    <xdr:colOff>1371600</xdr:colOff>
                    <xdr:row>5</xdr:row>
                    <xdr:rowOff>147638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7" name="PWBTN_NewSession">
              <controlPr defaultSize="0" print="0" autoFill="0" autoPict="0" macro="[0]!PWNewSession">
                <anchor>
                  <from>
                    <xdr:col>15</xdr:col>
                    <xdr:colOff>38100</xdr:colOff>
                    <xdr:row>6</xdr:row>
                    <xdr:rowOff>9525</xdr:rowOff>
                  </from>
                  <to>
                    <xdr:col>15</xdr:col>
                    <xdr:colOff>1371600</xdr:colOff>
                    <xdr:row>7</xdr:row>
                    <xdr:rowOff>109538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8" name="PWBTN_GoArrangement">
              <controlPr defaultSize="0" print="0" autoFill="0" autoPict="0" macro="[0]!PWGoToArrangement">
                <anchor>
                  <from>
                    <xdr:col>15</xdr:col>
                    <xdr:colOff>38100</xdr:colOff>
                    <xdr:row>7</xdr:row>
                    <xdr:rowOff>147638</xdr:rowOff>
                  </from>
                  <to>
                    <xdr:col>15</xdr:col>
                    <xdr:colOff>1371600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9" name="PWBTN_GoAnnotations">
              <controlPr defaultSize="0" print="0" autoFill="0" autoPict="0" macro="[0]!PWGoToAnnotationSet">
                <anchor>
                  <from>
                    <xdr:col>15</xdr:col>
                    <xdr:colOff>38100</xdr:colOff>
                    <xdr:row>9</xdr:row>
                    <xdr:rowOff>114300</xdr:rowOff>
                  </from>
                  <to>
                    <xdr:col>15</xdr:col>
                    <xdr:colOff>1371600</xdr:colOff>
                    <xdr:row>11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" name="PWBTN_Expand">
              <controlPr defaultSize="0" print="0" autoFill="0" autoPict="0" macro="[0]!PWExpandActiveSheet">
                <anchor>
                  <from>
                    <xdr:col>15</xdr:col>
                    <xdr:colOff>38100</xdr:colOff>
                    <xdr:row>11</xdr:row>
                    <xdr:rowOff>80963</xdr:rowOff>
                  </from>
                  <to>
                    <xdr:col>15</xdr:col>
                    <xdr:colOff>1371600</xdr:colOff>
                    <xdr:row>13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" name="PWBTN_Highlight">
              <controlPr defaultSize="0" print="0" autoFill="0" autoPict="0" macro="[0]!PWToggleActiveHighlight">
                <anchor>
                  <from>
                    <xdr:col>15</xdr:col>
                    <xdr:colOff>38100</xdr:colOff>
                    <xdr:row>13</xdr:row>
                    <xdr:rowOff>42863</xdr:rowOff>
                  </from>
                  <to>
                    <xdr:col>15</xdr:col>
                    <xdr:colOff>1371600</xdr:colOff>
                    <xdr:row>14</xdr:row>
                    <xdr:rowOff>147638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2" name="PWBTN_Instructions">
              <controlPr defaultSize="0" print="0" autoFill="0" autoPict="0" macro="[0]!PWToggleInstructions">
                <anchor>
                  <from>
                    <xdr:col>15</xdr:col>
                    <xdr:colOff>38100</xdr:colOff>
                    <xdr:row>15</xdr:row>
                    <xdr:rowOff>9525</xdr:rowOff>
                  </from>
                  <to>
                    <xdr:col>15</xdr:col>
                    <xdr:colOff>1371600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3" name="PWBTN_Refresh">
              <controlPr defaultSize="0" print="0" autoFill="0" autoPict="0" macro="[0]!PWRefreshCurrentSheetVisuals">
                <anchor>
                  <from>
                    <xdr:col>15</xdr:col>
                    <xdr:colOff>38100</xdr:colOff>
                    <xdr:row>16</xdr:row>
                    <xdr:rowOff>152400</xdr:rowOff>
                  </from>
                  <to>
                    <xdr:col>15</xdr:col>
                    <xdr:colOff>1371600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4" name="PWBTN_Rebuild">
              <controlPr defaultSize="0" print="0" autoFill="0" autoPict="0" macro="[0]!PWSetupWorkflowUI">
                <anchor>
                  <from>
                    <xdr:col>15</xdr:col>
                    <xdr:colOff>38100</xdr:colOff>
                    <xdr:row>18</xdr:row>
                    <xdr:rowOff>114300</xdr:rowOff>
                  </from>
                  <to>
                    <xdr:col>15</xdr:col>
                    <xdr:colOff>1371600</xdr:colOff>
                    <xdr:row>20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5" name="PWBTN_Legend">
              <controlPr defaultSize="0" print="0" autoFill="0" autoPict="0" macro="[0]!PWToggleLegend">
                <anchor>
                  <from>
                    <xdr:col>15</xdr:col>
                    <xdr:colOff>38100</xdr:colOff>
                    <xdr:row>20</xdr:row>
                    <xdr:rowOff>80963</xdr:rowOff>
                  </from>
                  <to>
                    <xdr:col>15</xdr:col>
                    <xdr:colOff>1371600</xdr:colOff>
                    <xdr:row>22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92"/>
  <sheetViews>
    <sheetView showGridLines="0" workbookViewId="0">
      <selection activeCell="G6" sqref="G6"/>
    </sheetView>
  </sheetViews>
  <sheetFormatPr defaultRowHeight="13.5"/>
  <cols>
    <col min="1" max="1" width="11" customWidth="1"/>
    <col min="2" max="2" width="17" customWidth="1"/>
    <col min="3" max="3" width="9" customWidth="1"/>
    <col min="4" max="4" width="25" customWidth="1"/>
    <col min="5" max="5" width="8" customWidth="1"/>
    <col min="6" max="6" width="12" customWidth="1"/>
    <col min="7" max="7" width="16" customWidth="1"/>
    <col min="8" max="8" width="8" customWidth="1"/>
    <col min="9" max="9" width="3" customWidth="1"/>
    <col min="10" max="10" width="13" customWidth="1"/>
    <col min="11" max="12" width="3" customWidth="1"/>
    <col min="13" max="13" width="17" customWidth="1"/>
    <col min="14" max="14" width="16" customWidth="1"/>
    <col min="15" max="15" width="34" customWidth="1"/>
    <col min="16" max="16" width="22" customWidth="1"/>
    <col min="51" max="51" width="15" customWidth="1"/>
    <col min="52" max="52" width="10" customWidth="1"/>
  </cols>
  <sheetData>
    <row r="1" spans="1:52" ht="22.05" customHeight="1">
      <c r="A1" s="122" t="s">
        <v>48</v>
      </c>
      <c r="B1" s="123"/>
      <c r="C1" s="123"/>
      <c r="D1" s="123"/>
      <c r="E1" s="123"/>
      <c r="F1" s="123"/>
      <c r="G1" s="123"/>
      <c r="H1" s="124"/>
      <c r="J1" s="125" t="s">
        <v>1</v>
      </c>
      <c r="K1" s="126"/>
      <c r="M1" s="119" t="s">
        <v>2</v>
      </c>
      <c r="N1" s="120"/>
      <c r="O1" s="120"/>
      <c r="P1" s="121"/>
      <c r="AY1" s="1" t="s">
        <v>3</v>
      </c>
      <c r="AZ1" s="2" t="b">
        <v>1</v>
      </c>
    </row>
    <row r="2" spans="1:52" ht="22.05" customHeight="1" thickBot="1">
      <c r="A2" s="17" t="s">
        <v>5</v>
      </c>
      <c r="B2" s="17" t="s">
        <v>8</v>
      </c>
      <c r="C2" s="17" t="s">
        <v>49</v>
      </c>
      <c r="D2" s="17" t="s">
        <v>50</v>
      </c>
      <c r="E2" s="17" t="s">
        <v>51</v>
      </c>
      <c r="F2" s="17" t="s">
        <v>52</v>
      </c>
      <c r="G2" s="17" t="s">
        <v>53</v>
      </c>
      <c r="H2" s="17" t="s">
        <v>54</v>
      </c>
      <c r="J2" s="7" t="s">
        <v>18</v>
      </c>
      <c r="K2" s="8"/>
      <c r="M2" s="3" t="s">
        <v>22</v>
      </c>
      <c r="N2" s="3" t="s">
        <v>55</v>
      </c>
      <c r="O2" s="3" t="s">
        <v>56</v>
      </c>
      <c r="P2" s="3" t="s">
        <v>57</v>
      </c>
      <c r="AY2" s="1" t="s">
        <v>27</v>
      </c>
      <c r="AZ2" s="2" t="b">
        <v>0</v>
      </c>
    </row>
    <row r="3" spans="1:52">
      <c r="A3" s="22" t="str">
        <f>IF(M3="","",IFERROR(INDEX(Overview!$B$3:$B$62,MATCH(M3,Overview!$U$3:$U$62,0)),""))</f>
        <v>14.08.26</v>
      </c>
      <c r="B3" s="21" t="s">
        <v>31</v>
      </c>
      <c r="C3" s="27">
        <f>IF(M3="","",COUNTIF($M$3:M3,M3))</f>
        <v>1</v>
      </c>
      <c r="D3" s="26" t="str">
        <f t="shared" ref="D3:D34" si="0">IF(M3="","",IF(AND(F3="",G3=""),"",IF(F3&lt;&gt;"",F3,"")&amp;IF(AND(F3&lt;&gt;"",G3&lt;&gt;"")," + ","")&amp;IF(G3&lt;&gt;"",G3,"")&amp;IF(H3&lt;&gt;"",", "&amp;H3,"")))</f>
        <v>YPDA, 1</v>
      </c>
      <c r="E3" s="27" t="s">
        <v>30</v>
      </c>
      <c r="F3" s="111" t="s">
        <v>58</v>
      </c>
      <c r="G3" s="26"/>
      <c r="H3" s="26">
        <f>IF(OR(M3="",E3=""),"",IF(COUNTIF($O$3:$O$92,O3)&gt;1,COUNTIF($O$3:O3,O3),""))</f>
        <v>1</v>
      </c>
      <c r="J3" s="9" t="s">
        <v>40</v>
      </c>
      <c r="K3" s="10"/>
      <c r="M3" s="6" t="str">
        <f>IF(COUNTA(E3:G3)=0,"",IF(B3&lt;&gt;"",B3,""))</f>
        <v>Arrangement 1</v>
      </c>
      <c r="N3" s="6" t="str">
        <f t="shared" ref="N3:N34" si="1">IF(M3="","",IF(G3="","[control]",G3))</f>
        <v>[control]</v>
      </c>
      <c r="O3" s="6" t="str">
        <f t="shared" ref="O3:O34" si="2">IF(M3="","",M3&amp;"|"&amp;E3&amp;"|"&amp;IF(F3="","[blank]",F3)&amp;"|"&amp;N3)</f>
        <v>Arrangement 1|A|YPDA|[control]</v>
      </c>
      <c r="P3" s="6" t="str">
        <f t="shared" ref="P3:P34" si="3">IF(M3="","",IF(E3="","Missing Set",IF(AND(B3&lt;&gt;"",COUNTIF($B$3:$B$92,B3)&gt;1),"Duplicate Arrangement start",IF(D3="","Blank description","OK"))))</f>
        <v>OK</v>
      </c>
      <c r="AY3" s="15" t="s">
        <v>36</v>
      </c>
      <c r="AZ3" s="16" t="b">
        <v>0</v>
      </c>
    </row>
    <row r="4" spans="1:52">
      <c r="A4" s="19" t="str">
        <f>IF(M4="","",IFERROR(INDEX(Overview!$B$3:$B$62,MATCH(M4,Overview!$U$3:$U$62,0)),""))</f>
        <v>14.08.26</v>
      </c>
      <c r="B4" s="18"/>
      <c r="C4" s="29">
        <f>IF(M4="","",COUNTIF($M$3:M4,M4))</f>
        <v>2</v>
      </c>
      <c r="D4" s="28" t="str">
        <f t="shared" si="0"/>
        <v>YPDA, 2</v>
      </c>
      <c r="E4" s="29" t="s">
        <v>30</v>
      </c>
      <c r="F4" s="112" t="s">
        <v>58</v>
      </c>
      <c r="G4" s="28"/>
      <c r="H4" s="28">
        <f>IF(OR(M4="",E4=""),"",IF(COUNTIF($O$3:$O$92,O4)&gt;1,COUNTIF($O$3:O4,O4),""))</f>
        <v>2</v>
      </c>
      <c r="J4" s="9" t="s">
        <v>45</v>
      </c>
      <c r="K4" s="10"/>
      <c r="M4" s="6" t="str">
        <f t="shared" ref="M4:M35" si="4">IF(COUNTA(E4:G4)=0,"",IF(B4&lt;&gt;"",B4,M3))</f>
        <v>Arrangement 1</v>
      </c>
      <c r="N4" s="6" t="str">
        <f t="shared" si="1"/>
        <v>[control]</v>
      </c>
      <c r="O4" s="6" t="str">
        <f t="shared" si="2"/>
        <v>Arrangement 1|A|YPDA|[control]</v>
      </c>
      <c r="P4" s="6" t="str">
        <f t="shared" si="3"/>
        <v>OK</v>
      </c>
      <c r="AY4" s="15" t="s">
        <v>41</v>
      </c>
      <c r="AZ4" s="16" t="b">
        <v>0</v>
      </c>
    </row>
    <row r="5" spans="1:52">
      <c r="A5" s="5" t="str">
        <f>IF(M5="","",IFERROR(INDEX(Overview!$B$3:$B$62,MATCH(M5,Overview!$U$3:$U$62,0)),""))</f>
        <v>14.08.26</v>
      </c>
      <c r="B5" s="4"/>
      <c r="C5" s="25">
        <f>IF(M5="","",COUNTIF($M$3:M5,M5))</f>
        <v>3</v>
      </c>
      <c r="D5" s="28" t="str">
        <f t="shared" si="0"/>
        <v>YPDA, 3</v>
      </c>
      <c r="E5" s="25" t="s">
        <v>30</v>
      </c>
      <c r="F5" s="113" t="s">
        <v>58</v>
      </c>
      <c r="G5" s="24"/>
      <c r="H5" s="24">
        <f>IF(OR(M5="",E5=""),"",IF(COUNTIF($O$3:$O$92,O5)&gt;1,COUNTIF($O$3:O5,O5),""))</f>
        <v>3</v>
      </c>
      <c r="J5" s="9" t="s">
        <v>47</v>
      </c>
      <c r="K5" s="10"/>
      <c r="M5" s="6" t="str">
        <f t="shared" si="4"/>
        <v>Arrangement 1</v>
      </c>
      <c r="N5" s="6" t="str">
        <f t="shared" si="1"/>
        <v>[control]</v>
      </c>
      <c r="O5" s="6" t="str">
        <f t="shared" si="2"/>
        <v>Arrangement 1|A|YPDA|[control]</v>
      </c>
      <c r="P5" s="6" t="str">
        <f t="shared" si="3"/>
        <v>OK</v>
      </c>
      <c r="AY5" s="15" t="s">
        <v>46</v>
      </c>
      <c r="AZ5" s="15">
        <v>92</v>
      </c>
    </row>
    <row r="6" spans="1:52">
      <c r="A6" s="5" t="str">
        <f>IF(M6="","",IFERROR(INDEX(Overview!$B$3:$B$62,MATCH(M6,Overview!$U$3:$U$62,0)),""))</f>
        <v>14.08.26</v>
      </c>
      <c r="B6" s="4"/>
      <c r="C6" s="25">
        <f>IF(M6="","",COUNTIF($M$3:M6,M6))</f>
        <v>4</v>
      </c>
      <c r="D6" s="24" t="str">
        <f t="shared" si="0"/>
        <v>YPDA, 4</v>
      </c>
      <c r="E6" s="25" t="s">
        <v>30</v>
      </c>
      <c r="F6" s="113" t="s">
        <v>58</v>
      </c>
      <c r="G6" s="24"/>
      <c r="H6" s="24">
        <f>IF(OR(M6="",E6=""),"",IF(COUNTIF($O$3:$O$92,O6)&gt;1,COUNTIF($O$3:O6,O6),""))</f>
        <v>4</v>
      </c>
      <c r="J6" s="9"/>
      <c r="K6" s="10"/>
      <c r="M6" s="6" t="str">
        <f t="shared" si="4"/>
        <v>Arrangement 1</v>
      </c>
      <c r="N6" s="6" t="str">
        <f t="shared" si="1"/>
        <v>[control]</v>
      </c>
      <c r="O6" s="6" t="str">
        <f t="shared" si="2"/>
        <v>Arrangement 1|A|YPDA|[control]</v>
      </c>
      <c r="P6" s="6" t="str">
        <f t="shared" si="3"/>
        <v>OK</v>
      </c>
    </row>
    <row r="7" spans="1:52">
      <c r="A7" s="5" t="str">
        <f>IF(M7="","",IFERROR(INDEX(Overview!$B$3:$B$62,MATCH(M7,Overview!$U$3:$U$62,0)),""))</f>
        <v>14.08.26</v>
      </c>
      <c r="B7" s="4"/>
      <c r="C7" s="25">
        <f>IF(M7="","",COUNTIF($M$3:M7,M7))</f>
        <v>5</v>
      </c>
      <c r="D7" s="30" t="str">
        <f t="shared" si="0"/>
        <v>YPDA + heat, 1</v>
      </c>
      <c r="E7" s="25" t="s">
        <v>30</v>
      </c>
      <c r="F7" s="113" t="s">
        <v>58</v>
      </c>
      <c r="G7" s="30" t="s">
        <v>59</v>
      </c>
      <c r="H7" s="30">
        <f>IF(OR(M7="",E7=""),"",IF(COUNTIF($O$3:$O$92,O7)&gt;1,COUNTIF($O$3:O7,O7),""))</f>
        <v>1</v>
      </c>
      <c r="J7" s="9"/>
      <c r="K7" s="10"/>
      <c r="M7" s="6" t="str">
        <f t="shared" si="4"/>
        <v>Arrangement 1</v>
      </c>
      <c r="N7" s="6" t="str">
        <f t="shared" si="1"/>
        <v>heat</v>
      </c>
      <c r="O7" s="6" t="str">
        <f t="shared" si="2"/>
        <v>Arrangement 1|A|YPDA|heat</v>
      </c>
      <c r="P7" s="6" t="str">
        <f t="shared" si="3"/>
        <v>OK</v>
      </c>
    </row>
    <row r="8" spans="1:52">
      <c r="A8" s="5" t="str">
        <f>IF(M8="","",IFERROR(INDEX(Overview!$B$3:$B$62,MATCH(M8,Overview!$U$3:$U$62,0)),""))</f>
        <v>14.08.26</v>
      </c>
      <c r="B8" s="4"/>
      <c r="C8" s="25">
        <f>IF(M8="","",COUNTIF($M$3:M8,M8))</f>
        <v>6</v>
      </c>
      <c r="D8" s="30" t="str">
        <f t="shared" si="0"/>
        <v>YPDA + heat, 2</v>
      </c>
      <c r="E8" s="25" t="s">
        <v>30</v>
      </c>
      <c r="F8" s="113" t="s">
        <v>58</v>
      </c>
      <c r="G8" s="30" t="s">
        <v>59</v>
      </c>
      <c r="H8" s="30">
        <f>IF(OR(M8="",E8=""),"",IF(COUNTIF($O$3:$O$92,O8)&gt;1,COUNTIF($O$3:O8,O8),""))</f>
        <v>2</v>
      </c>
      <c r="J8" s="9"/>
      <c r="K8" s="10"/>
      <c r="M8" s="6" t="str">
        <f t="shared" si="4"/>
        <v>Arrangement 1</v>
      </c>
      <c r="N8" s="6" t="str">
        <f t="shared" si="1"/>
        <v>heat</v>
      </c>
      <c r="O8" s="6" t="str">
        <f t="shared" si="2"/>
        <v>Arrangement 1|A|YPDA|heat</v>
      </c>
      <c r="P8" s="6" t="str">
        <f t="shared" si="3"/>
        <v>OK</v>
      </c>
    </row>
    <row r="9" spans="1:52">
      <c r="A9" s="5" t="str">
        <f>IF(M9="","",IFERROR(INDEX(Overview!$B$3:$B$62,MATCH(M9,Overview!$U$3:$U$62,0)),""))</f>
        <v>14.08.26</v>
      </c>
      <c r="B9" s="4"/>
      <c r="C9" s="25">
        <f>IF(M9="","",COUNTIF($M$3:M9,M9))</f>
        <v>7</v>
      </c>
      <c r="D9" s="30" t="str">
        <f t="shared" si="0"/>
        <v>YPDA + heat, 3</v>
      </c>
      <c r="E9" s="25" t="s">
        <v>30</v>
      </c>
      <c r="F9" s="113" t="s">
        <v>58</v>
      </c>
      <c r="G9" s="30" t="s">
        <v>59</v>
      </c>
      <c r="H9" s="30">
        <f>IF(OR(M9="",E9=""),"",IF(COUNTIF($O$3:$O$92,O9)&gt;1,COUNTIF($O$3:O9,O9),""))</f>
        <v>3</v>
      </c>
      <c r="J9" s="9"/>
      <c r="K9" s="10"/>
      <c r="M9" s="6" t="str">
        <f t="shared" si="4"/>
        <v>Arrangement 1</v>
      </c>
      <c r="N9" s="6" t="str">
        <f t="shared" si="1"/>
        <v>heat</v>
      </c>
      <c r="O9" s="6" t="str">
        <f t="shared" si="2"/>
        <v>Arrangement 1|A|YPDA|heat</v>
      </c>
      <c r="P9" s="6" t="str">
        <f t="shared" si="3"/>
        <v>OK</v>
      </c>
    </row>
    <row r="10" spans="1:52">
      <c r="A10" s="5" t="str">
        <f>IF(M10="","",IFERROR(INDEX(Overview!$B$3:$B$62,MATCH(M10,Overview!$U$3:$U$62,0)),""))</f>
        <v>14.08.26</v>
      </c>
      <c r="B10" s="4"/>
      <c r="C10" s="25">
        <f>IF(M10="","",COUNTIF($M$3:M10,M10))</f>
        <v>8</v>
      </c>
      <c r="D10" s="30" t="str">
        <f t="shared" si="0"/>
        <v>YPDA + heat, 4</v>
      </c>
      <c r="E10" s="25" t="s">
        <v>30</v>
      </c>
      <c r="F10" s="113" t="s">
        <v>58</v>
      </c>
      <c r="G10" s="30" t="s">
        <v>59</v>
      </c>
      <c r="H10" s="30">
        <f>IF(OR(M10="",E10=""),"",IF(COUNTIF($O$3:$O$92,O10)&gt;1,COUNTIF($O$3:O10,O10),""))</f>
        <v>4</v>
      </c>
      <c r="J10" s="9"/>
      <c r="K10" s="10"/>
      <c r="M10" s="6" t="str">
        <f t="shared" si="4"/>
        <v>Arrangement 1</v>
      </c>
      <c r="N10" s="6" t="str">
        <f t="shared" si="1"/>
        <v>heat</v>
      </c>
      <c r="O10" s="6" t="str">
        <f t="shared" si="2"/>
        <v>Arrangement 1|A|YPDA|heat</v>
      </c>
      <c r="P10" s="6" t="str">
        <f t="shared" si="3"/>
        <v>OK</v>
      </c>
    </row>
    <row r="11" spans="1:52">
      <c r="A11" s="5" t="str">
        <f>IF(M11="","",IFERROR(INDEX(Overview!$B$3:$B$62,MATCH(M11,Overview!$U$3:$U$62,0)),""))</f>
        <v>14.08.26</v>
      </c>
      <c r="B11" s="4"/>
      <c r="C11" s="25">
        <f>IF(M11="","",COUNTIF($M$3:M11,M11))</f>
        <v>9</v>
      </c>
      <c r="D11" s="31" t="str">
        <f t="shared" si="0"/>
        <v>YPDA + salt, 1</v>
      </c>
      <c r="E11" s="25" t="s">
        <v>30</v>
      </c>
      <c r="F11" s="113" t="s">
        <v>58</v>
      </c>
      <c r="G11" s="31" t="s">
        <v>60</v>
      </c>
      <c r="H11" s="31">
        <f>IF(OR(M11="",E11=""),"",IF(COUNTIF($O$3:$O$92,O11)&gt;1,COUNTIF($O$3:O11,O11),""))</f>
        <v>1</v>
      </c>
      <c r="J11" s="9"/>
      <c r="K11" s="10"/>
      <c r="M11" s="6" t="str">
        <f t="shared" si="4"/>
        <v>Arrangement 1</v>
      </c>
      <c r="N11" s="6" t="str">
        <f t="shared" si="1"/>
        <v>salt</v>
      </c>
      <c r="O11" s="6" t="str">
        <f t="shared" si="2"/>
        <v>Arrangement 1|A|YPDA|salt</v>
      </c>
      <c r="P11" s="6" t="str">
        <f t="shared" si="3"/>
        <v>OK</v>
      </c>
    </row>
    <row r="12" spans="1:52">
      <c r="A12" s="5" t="str">
        <f>IF(M12="","",IFERROR(INDEX(Overview!$B$3:$B$62,MATCH(M12,Overview!$U$3:$U$62,0)),""))</f>
        <v>14.08.26</v>
      </c>
      <c r="B12" s="4"/>
      <c r="C12" s="25">
        <f>IF(M12="","",COUNTIF($M$3:M12,M12))</f>
        <v>10</v>
      </c>
      <c r="D12" s="31" t="str">
        <f t="shared" si="0"/>
        <v>YPDA + salt, 2</v>
      </c>
      <c r="E12" s="25" t="s">
        <v>30</v>
      </c>
      <c r="F12" s="113" t="s">
        <v>58</v>
      </c>
      <c r="G12" s="31" t="s">
        <v>60</v>
      </c>
      <c r="H12" s="31">
        <f>IF(OR(M12="",E12=""),"",IF(COUNTIF($O$3:$O$92,O12)&gt;1,COUNTIF($O$3:O12,O12),""))</f>
        <v>2</v>
      </c>
      <c r="J12" s="11"/>
      <c r="K12" s="12"/>
      <c r="M12" s="6" t="str">
        <f t="shared" si="4"/>
        <v>Arrangement 1</v>
      </c>
      <c r="N12" s="6" t="str">
        <f t="shared" si="1"/>
        <v>salt</v>
      </c>
      <c r="O12" s="6" t="str">
        <f t="shared" si="2"/>
        <v>Arrangement 1|A|YPDA|salt</v>
      </c>
      <c r="P12" s="6" t="str">
        <f t="shared" si="3"/>
        <v>OK</v>
      </c>
    </row>
    <row r="13" spans="1:52">
      <c r="A13" s="5" t="str">
        <f>IF(M13="","",IFERROR(INDEX(Overview!$B$3:$B$62,MATCH(M13,Overview!$U$3:$U$62,0)),""))</f>
        <v>14.08.26</v>
      </c>
      <c r="B13" s="4"/>
      <c r="C13" s="25">
        <f>IF(M13="","",COUNTIF($M$3:M13,M13))</f>
        <v>11</v>
      </c>
      <c r="D13" s="31" t="str">
        <f t="shared" si="0"/>
        <v>YPDA + salt, 3</v>
      </c>
      <c r="E13" s="25" t="s">
        <v>30</v>
      </c>
      <c r="F13" s="113" t="s">
        <v>58</v>
      </c>
      <c r="G13" s="31" t="s">
        <v>60</v>
      </c>
      <c r="H13" s="31">
        <f>IF(OR(M13="",E13=""),"",IF(COUNTIF($O$3:$O$92,O13)&gt;1,COUNTIF($O$3:O13,O13),""))</f>
        <v>3</v>
      </c>
      <c r="M13" s="6" t="str">
        <f t="shared" si="4"/>
        <v>Arrangement 1</v>
      </c>
      <c r="N13" s="6" t="str">
        <f t="shared" si="1"/>
        <v>salt</v>
      </c>
      <c r="O13" s="6" t="str">
        <f t="shared" si="2"/>
        <v>Arrangement 1|A|YPDA|salt</v>
      </c>
      <c r="P13" s="6" t="str">
        <f t="shared" si="3"/>
        <v>OK</v>
      </c>
    </row>
    <row r="14" spans="1:52">
      <c r="A14" s="5" t="str">
        <f>IF(M14="","",IFERROR(INDEX(Overview!$B$3:$B$62,MATCH(M14,Overview!$U$3:$U$62,0)),""))</f>
        <v>14.08.26</v>
      </c>
      <c r="B14" s="4"/>
      <c r="C14" s="25">
        <f>IF(M14="","",COUNTIF($M$3:M14,M14))</f>
        <v>12</v>
      </c>
      <c r="D14" s="31" t="str">
        <f t="shared" si="0"/>
        <v>YPDA + salt, 4</v>
      </c>
      <c r="E14" s="25" t="s">
        <v>30</v>
      </c>
      <c r="F14" s="113" t="s">
        <v>58</v>
      </c>
      <c r="G14" s="31" t="s">
        <v>60</v>
      </c>
      <c r="H14" s="31">
        <f>IF(OR(M14="",E14=""),"",IF(COUNTIF($O$3:$O$92,O14)&gt;1,COUNTIF($O$3:O14,O14),""))</f>
        <v>4</v>
      </c>
      <c r="M14" s="6" t="str">
        <f t="shared" si="4"/>
        <v>Arrangement 1</v>
      </c>
      <c r="N14" s="6" t="str">
        <f t="shared" si="1"/>
        <v>salt</v>
      </c>
      <c r="O14" s="6" t="str">
        <f t="shared" si="2"/>
        <v>Arrangement 1|A|YPDA|salt</v>
      </c>
      <c r="P14" s="6" t="str">
        <f t="shared" si="3"/>
        <v>OK</v>
      </c>
    </row>
    <row r="15" spans="1:52">
      <c r="A15" s="5" t="str">
        <f>IF(M15="","",IFERROR(INDEX(Overview!$B$3:$B$62,MATCH(M15,Overview!$U$3:$U$62,0)),""))</f>
        <v>14.08.26</v>
      </c>
      <c r="B15" s="4"/>
      <c r="C15" s="32">
        <f>IF(M15="","",COUNTIF($M$3:M15,M15))</f>
        <v>13</v>
      </c>
      <c r="D15" s="24" t="str">
        <f t="shared" si="0"/>
        <v>YPDA, 1</v>
      </c>
      <c r="E15" s="32" t="s">
        <v>39</v>
      </c>
      <c r="F15" s="113" t="s">
        <v>58</v>
      </c>
      <c r="G15" s="24"/>
      <c r="H15" s="24">
        <f>IF(OR(M15="",E15=""),"",IF(COUNTIF($O$3:$O$92,O15)&gt;1,COUNTIF($O$3:O15,O15),""))</f>
        <v>1</v>
      </c>
      <c r="M15" s="6" t="str">
        <f t="shared" si="4"/>
        <v>Arrangement 1</v>
      </c>
      <c r="N15" s="6" t="str">
        <f t="shared" si="1"/>
        <v>[control]</v>
      </c>
      <c r="O15" s="6" t="str">
        <f t="shared" si="2"/>
        <v>Arrangement 1|B|YPDA|[control]</v>
      </c>
      <c r="P15" s="6" t="str">
        <f t="shared" si="3"/>
        <v>OK</v>
      </c>
    </row>
    <row r="16" spans="1:52">
      <c r="A16" s="5" t="str">
        <f>IF(M16="","",IFERROR(INDEX(Overview!$B$3:$B$62,MATCH(M16,Overview!$U$3:$U$62,0)),""))</f>
        <v>14.08.26</v>
      </c>
      <c r="B16" s="4"/>
      <c r="C16" s="32">
        <f>IF(M16="","",COUNTIF($M$3:M16,M16))</f>
        <v>14</v>
      </c>
      <c r="D16" s="24" t="str">
        <f t="shared" si="0"/>
        <v>YPDA, 2</v>
      </c>
      <c r="E16" s="32" t="s">
        <v>39</v>
      </c>
      <c r="F16" s="113" t="s">
        <v>58</v>
      </c>
      <c r="G16" s="24"/>
      <c r="H16" s="24">
        <f>IF(OR(M16="",E16=""),"",IF(COUNTIF($O$3:$O$92,O16)&gt;1,COUNTIF($O$3:O16,O16),""))</f>
        <v>2</v>
      </c>
      <c r="M16" s="6" t="str">
        <f t="shared" si="4"/>
        <v>Arrangement 1</v>
      </c>
      <c r="N16" s="6" t="str">
        <f t="shared" si="1"/>
        <v>[control]</v>
      </c>
      <c r="O16" s="6" t="str">
        <f t="shared" si="2"/>
        <v>Arrangement 1|B|YPDA|[control]</v>
      </c>
      <c r="P16" s="6" t="str">
        <f t="shared" si="3"/>
        <v>OK</v>
      </c>
    </row>
    <row r="17" spans="1:16">
      <c r="A17" s="5" t="str">
        <f>IF(M17="","",IFERROR(INDEX(Overview!$B$3:$B$62,MATCH(M17,Overview!$U$3:$U$62,0)),""))</f>
        <v>14.08.26</v>
      </c>
      <c r="B17" s="4"/>
      <c r="C17" s="32">
        <f>IF(M17="","",COUNTIF($M$3:M17,M17))</f>
        <v>15</v>
      </c>
      <c r="D17" s="24" t="str">
        <f t="shared" si="0"/>
        <v>YPDA, 3</v>
      </c>
      <c r="E17" s="32" t="s">
        <v>39</v>
      </c>
      <c r="F17" s="113" t="s">
        <v>58</v>
      </c>
      <c r="G17" s="24"/>
      <c r="H17" s="24">
        <f>IF(OR(M17="",E17=""),"",IF(COUNTIF($O$3:$O$92,O17)&gt;1,COUNTIF($O$3:O17,O17),""))</f>
        <v>3</v>
      </c>
      <c r="M17" s="6" t="str">
        <f t="shared" si="4"/>
        <v>Arrangement 1</v>
      </c>
      <c r="N17" s="6" t="str">
        <f t="shared" si="1"/>
        <v>[control]</v>
      </c>
      <c r="O17" s="6" t="str">
        <f t="shared" si="2"/>
        <v>Arrangement 1|B|YPDA|[control]</v>
      </c>
      <c r="P17" s="6" t="str">
        <f t="shared" si="3"/>
        <v>OK</v>
      </c>
    </row>
    <row r="18" spans="1:16">
      <c r="A18" s="5" t="str">
        <f>IF(M18="","",IFERROR(INDEX(Overview!$B$3:$B$62,MATCH(M18,Overview!$U$3:$U$62,0)),""))</f>
        <v>14.08.26</v>
      </c>
      <c r="B18" s="4"/>
      <c r="C18" s="32">
        <f>IF(M18="","",COUNTIF($M$3:M18,M18))</f>
        <v>16</v>
      </c>
      <c r="D18" s="24" t="str">
        <f t="shared" si="0"/>
        <v>YPDA, 4</v>
      </c>
      <c r="E18" s="32" t="s">
        <v>39</v>
      </c>
      <c r="F18" s="113" t="s">
        <v>58</v>
      </c>
      <c r="G18" s="24"/>
      <c r="H18" s="24">
        <f>IF(OR(M18="",E18=""),"",IF(COUNTIF($O$3:$O$92,O18)&gt;1,COUNTIF($O$3:O18,O18),""))</f>
        <v>4</v>
      </c>
      <c r="M18" s="6" t="str">
        <f t="shared" si="4"/>
        <v>Arrangement 1</v>
      </c>
      <c r="N18" s="6" t="str">
        <f t="shared" si="1"/>
        <v>[control]</v>
      </c>
      <c r="O18" s="6" t="str">
        <f t="shared" si="2"/>
        <v>Arrangement 1|B|YPDA|[control]</v>
      </c>
      <c r="P18" s="6" t="str">
        <f t="shared" si="3"/>
        <v>OK</v>
      </c>
    </row>
    <row r="19" spans="1:16">
      <c r="A19" s="5" t="str">
        <f>IF(M19="","",IFERROR(INDEX(Overview!$B$3:$B$62,MATCH(M19,Overview!$U$3:$U$62,0)),""))</f>
        <v>14.08.26</v>
      </c>
      <c r="B19" s="4"/>
      <c r="C19" s="32">
        <f>IF(M19="","",COUNTIF($M$3:M19,M19))</f>
        <v>17</v>
      </c>
      <c r="D19" s="30" t="str">
        <f t="shared" si="0"/>
        <v>YPDA + heat, 1</v>
      </c>
      <c r="E19" s="32" t="s">
        <v>39</v>
      </c>
      <c r="F19" s="113" t="s">
        <v>58</v>
      </c>
      <c r="G19" s="30" t="s">
        <v>59</v>
      </c>
      <c r="H19" s="30">
        <f>IF(OR(M19="",E19=""),"",IF(COUNTIF($O$3:$O$92,O19)&gt;1,COUNTIF($O$3:O19,O19),""))</f>
        <v>1</v>
      </c>
      <c r="M19" s="6" t="str">
        <f t="shared" si="4"/>
        <v>Arrangement 1</v>
      </c>
      <c r="N19" s="6" t="str">
        <f t="shared" si="1"/>
        <v>heat</v>
      </c>
      <c r="O19" s="6" t="str">
        <f t="shared" si="2"/>
        <v>Arrangement 1|B|YPDA|heat</v>
      </c>
      <c r="P19" s="6" t="str">
        <f t="shared" si="3"/>
        <v>OK</v>
      </c>
    </row>
    <row r="20" spans="1:16">
      <c r="A20" s="5" t="str">
        <f>IF(M20="","",IFERROR(INDEX(Overview!$B$3:$B$62,MATCH(M20,Overview!$U$3:$U$62,0)),""))</f>
        <v>14.08.26</v>
      </c>
      <c r="B20" s="4"/>
      <c r="C20" s="32">
        <f>IF(M20="","",COUNTIF($M$3:M20,M20))</f>
        <v>18</v>
      </c>
      <c r="D20" s="30" t="str">
        <f t="shared" si="0"/>
        <v>YPDA + heat, 2</v>
      </c>
      <c r="E20" s="32" t="s">
        <v>39</v>
      </c>
      <c r="F20" s="113" t="s">
        <v>58</v>
      </c>
      <c r="G20" s="30" t="s">
        <v>59</v>
      </c>
      <c r="H20" s="30">
        <f>IF(OR(M20="",E20=""),"",IF(COUNTIF($O$3:$O$92,O20)&gt;1,COUNTIF($O$3:O20,O20),""))</f>
        <v>2</v>
      </c>
      <c r="M20" s="6" t="str">
        <f t="shared" si="4"/>
        <v>Arrangement 1</v>
      </c>
      <c r="N20" s="6" t="str">
        <f t="shared" si="1"/>
        <v>heat</v>
      </c>
      <c r="O20" s="6" t="str">
        <f t="shared" si="2"/>
        <v>Arrangement 1|B|YPDA|heat</v>
      </c>
      <c r="P20" s="6" t="str">
        <f t="shared" si="3"/>
        <v>OK</v>
      </c>
    </row>
    <row r="21" spans="1:16">
      <c r="A21" s="5" t="str">
        <f>IF(M21="","",IFERROR(INDEX(Overview!$B$3:$B$62,MATCH(M21,Overview!$U$3:$U$62,0)),""))</f>
        <v>14.08.26</v>
      </c>
      <c r="B21" s="4"/>
      <c r="C21" s="32">
        <f>IF(M21="","",COUNTIF($M$3:M21,M21))</f>
        <v>19</v>
      </c>
      <c r="D21" s="30" t="str">
        <f t="shared" si="0"/>
        <v>YPDA + heat, 3</v>
      </c>
      <c r="E21" s="32" t="s">
        <v>39</v>
      </c>
      <c r="F21" s="113" t="s">
        <v>58</v>
      </c>
      <c r="G21" s="30" t="s">
        <v>59</v>
      </c>
      <c r="H21" s="30">
        <f>IF(OR(M21="",E21=""),"",IF(COUNTIF($O$3:$O$92,O21)&gt;1,COUNTIF($O$3:O21,O21),""))</f>
        <v>3</v>
      </c>
      <c r="M21" s="6" t="str">
        <f t="shared" si="4"/>
        <v>Arrangement 1</v>
      </c>
      <c r="N21" s="6" t="str">
        <f t="shared" si="1"/>
        <v>heat</v>
      </c>
      <c r="O21" s="6" t="str">
        <f t="shared" si="2"/>
        <v>Arrangement 1|B|YPDA|heat</v>
      </c>
      <c r="P21" s="6" t="str">
        <f t="shared" si="3"/>
        <v>OK</v>
      </c>
    </row>
    <row r="22" spans="1:16">
      <c r="A22" s="5" t="str">
        <f>IF(M22="","",IFERROR(INDEX(Overview!$B$3:$B$62,MATCH(M22,Overview!$U$3:$U$62,0)),""))</f>
        <v>14.08.26</v>
      </c>
      <c r="B22" s="4"/>
      <c r="C22" s="32">
        <f>IF(M22="","",COUNTIF($M$3:M22,M22))</f>
        <v>20</v>
      </c>
      <c r="D22" s="30" t="str">
        <f t="shared" si="0"/>
        <v>YPDA + heat, 4</v>
      </c>
      <c r="E22" s="32" t="s">
        <v>39</v>
      </c>
      <c r="F22" s="113" t="s">
        <v>58</v>
      </c>
      <c r="G22" s="30" t="s">
        <v>59</v>
      </c>
      <c r="H22" s="30">
        <f>IF(OR(M22="",E22=""),"",IF(COUNTIF($O$3:$O$92,O22)&gt;1,COUNTIF($O$3:O22,O22),""))</f>
        <v>4</v>
      </c>
      <c r="M22" s="6" t="str">
        <f t="shared" si="4"/>
        <v>Arrangement 1</v>
      </c>
      <c r="N22" s="6" t="str">
        <f t="shared" si="1"/>
        <v>heat</v>
      </c>
      <c r="O22" s="6" t="str">
        <f t="shared" si="2"/>
        <v>Arrangement 1|B|YPDA|heat</v>
      </c>
      <c r="P22" s="6" t="str">
        <f t="shared" si="3"/>
        <v>OK</v>
      </c>
    </row>
    <row r="23" spans="1:16">
      <c r="A23" s="5" t="str">
        <f>IF(M23="","",IFERROR(INDEX(Overview!$B$3:$B$62,MATCH(M23,Overview!$U$3:$U$62,0)),""))</f>
        <v>14.08.26</v>
      </c>
      <c r="B23" s="4"/>
      <c r="C23" s="32">
        <f>IF(M23="","",COUNTIF($M$3:M23,M23))</f>
        <v>21</v>
      </c>
      <c r="D23" s="31" t="str">
        <f t="shared" si="0"/>
        <v>YPDA + salt, 1</v>
      </c>
      <c r="E23" s="32" t="s">
        <v>39</v>
      </c>
      <c r="F23" s="113" t="s">
        <v>58</v>
      </c>
      <c r="G23" s="31" t="s">
        <v>60</v>
      </c>
      <c r="H23" s="31">
        <f>IF(OR(M23="",E23=""),"",IF(COUNTIF($O$3:$O$92,O23)&gt;1,COUNTIF($O$3:O23,O23),""))</f>
        <v>1</v>
      </c>
      <c r="M23" s="6" t="str">
        <f t="shared" si="4"/>
        <v>Arrangement 1</v>
      </c>
      <c r="N23" s="6" t="str">
        <f t="shared" si="1"/>
        <v>salt</v>
      </c>
      <c r="O23" s="6" t="str">
        <f t="shared" si="2"/>
        <v>Arrangement 1|B|YPDA|salt</v>
      </c>
      <c r="P23" s="6" t="str">
        <f t="shared" si="3"/>
        <v>OK</v>
      </c>
    </row>
    <row r="24" spans="1:16">
      <c r="A24" s="5" t="str">
        <f>IF(M24="","",IFERROR(INDEX(Overview!$B$3:$B$62,MATCH(M24,Overview!$U$3:$U$62,0)),""))</f>
        <v>14.08.26</v>
      </c>
      <c r="B24" s="4"/>
      <c r="C24" s="32">
        <f>IF(M24="","",COUNTIF($M$3:M24,M24))</f>
        <v>22</v>
      </c>
      <c r="D24" s="31" t="str">
        <f t="shared" si="0"/>
        <v>YPDA + salt, 2</v>
      </c>
      <c r="E24" s="32" t="s">
        <v>39</v>
      </c>
      <c r="F24" s="113" t="s">
        <v>58</v>
      </c>
      <c r="G24" s="31" t="s">
        <v>60</v>
      </c>
      <c r="H24" s="31">
        <f>IF(OR(M24="",E24=""),"",IF(COUNTIF($O$3:$O$92,O24)&gt;1,COUNTIF($O$3:O24,O24),""))</f>
        <v>2</v>
      </c>
      <c r="M24" s="6" t="str">
        <f t="shared" si="4"/>
        <v>Arrangement 1</v>
      </c>
      <c r="N24" s="6" t="str">
        <f t="shared" si="1"/>
        <v>salt</v>
      </c>
      <c r="O24" s="6" t="str">
        <f t="shared" si="2"/>
        <v>Arrangement 1|B|YPDA|salt</v>
      </c>
      <c r="P24" s="6" t="str">
        <f t="shared" si="3"/>
        <v>OK</v>
      </c>
    </row>
    <row r="25" spans="1:16">
      <c r="A25" s="5" t="str">
        <f>IF(M25="","",IFERROR(INDEX(Overview!$B$3:$B$62,MATCH(M25,Overview!$U$3:$U$62,0)),""))</f>
        <v>14.08.26</v>
      </c>
      <c r="B25" s="4"/>
      <c r="C25" s="32">
        <f>IF(M25="","",COUNTIF($M$3:M25,M25))</f>
        <v>23</v>
      </c>
      <c r="D25" s="31" t="str">
        <f t="shared" si="0"/>
        <v>YPDA + salt, 3</v>
      </c>
      <c r="E25" s="32" t="s">
        <v>39</v>
      </c>
      <c r="F25" s="113" t="s">
        <v>58</v>
      </c>
      <c r="G25" s="31" t="s">
        <v>60</v>
      </c>
      <c r="H25" s="31">
        <f>IF(OR(M25="",E25=""),"",IF(COUNTIF($O$3:$O$92,O25)&gt;1,COUNTIF($O$3:O25,O25),""))</f>
        <v>3</v>
      </c>
      <c r="M25" s="6" t="str">
        <f t="shared" si="4"/>
        <v>Arrangement 1</v>
      </c>
      <c r="N25" s="6" t="str">
        <f t="shared" si="1"/>
        <v>salt</v>
      </c>
      <c r="O25" s="6" t="str">
        <f t="shared" si="2"/>
        <v>Arrangement 1|B|YPDA|salt</v>
      </c>
      <c r="P25" s="6" t="str">
        <f t="shared" si="3"/>
        <v>OK</v>
      </c>
    </row>
    <row r="26" spans="1:16" ht="13.9" thickBot="1">
      <c r="A26" s="35" t="str">
        <f>IF(M26="","",IFERROR(INDEX(Overview!$B$3:$B$62,MATCH(M26,Overview!$U$3:$U$62,0)),""))</f>
        <v>14.08.26</v>
      </c>
      <c r="B26" s="36"/>
      <c r="C26" s="38">
        <f>IF(M26="","",COUNTIF($M$3:M26,M26))</f>
        <v>24</v>
      </c>
      <c r="D26" s="37" t="str">
        <f t="shared" si="0"/>
        <v>YPDA + salt, 4</v>
      </c>
      <c r="E26" s="38" t="s">
        <v>39</v>
      </c>
      <c r="F26" s="115" t="s">
        <v>58</v>
      </c>
      <c r="G26" s="37" t="s">
        <v>60</v>
      </c>
      <c r="H26" s="37">
        <f>IF(OR(M26="",E26=""),"",IF(COUNTIF($O$3:$O$92,O26)&gt;1,COUNTIF($O$3:O26,O26),""))</f>
        <v>4</v>
      </c>
      <c r="M26" s="6" t="str">
        <f t="shared" si="4"/>
        <v>Arrangement 1</v>
      </c>
      <c r="N26" s="6" t="str">
        <f t="shared" si="1"/>
        <v>salt</v>
      </c>
      <c r="O26" s="6" t="str">
        <f t="shared" si="2"/>
        <v>Arrangement 1|B|YPDA|salt</v>
      </c>
      <c r="P26" s="6" t="str">
        <f t="shared" si="3"/>
        <v>OK</v>
      </c>
    </row>
    <row r="27" spans="1:16">
      <c r="A27" s="22" t="str">
        <f>IF(M27="","",IFERROR(INDEX(Overview!$B$3:$B$62,MATCH(M27,Overview!$U$3:$U$62,0)),""))</f>
        <v>16.08.26</v>
      </c>
      <c r="B27" s="21" t="s">
        <v>42</v>
      </c>
      <c r="C27" s="40">
        <f>IF(M27="","",COUNTIF($M$3:M27,M27))</f>
        <v>1</v>
      </c>
      <c r="D27" s="39" t="str">
        <f t="shared" si="0"/>
        <v>YPDA, 1</v>
      </c>
      <c r="E27" s="40" t="s">
        <v>30</v>
      </c>
      <c r="F27" s="111" t="s">
        <v>58</v>
      </c>
      <c r="G27" s="39"/>
      <c r="H27" s="39">
        <f>IF(OR(M27="",E27=""),"",IF(COUNTIF($O$3:$O$92,O27)&gt;1,COUNTIF($O$3:O27,O27),""))</f>
        <v>1</v>
      </c>
      <c r="M27" s="6" t="str">
        <f t="shared" si="4"/>
        <v>Arrangement 2</v>
      </c>
      <c r="N27" s="6" t="str">
        <f t="shared" si="1"/>
        <v>[control]</v>
      </c>
      <c r="O27" s="6" t="str">
        <f t="shared" si="2"/>
        <v>Arrangement 2|A|YPDA|[control]</v>
      </c>
      <c r="P27" s="6" t="str">
        <f t="shared" si="3"/>
        <v>OK</v>
      </c>
    </row>
    <row r="28" spans="1:16">
      <c r="A28" s="19" t="str">
        <f>IF(M28="","",IFERROR(INDEX(Overview!$B$3:$B$62,MATCH(M28,Overview!$U$3:$U$62,0)),""))</f>
        <v>16.08.26</v>
      </c>
      <c r="B28" s="18"/>
      <c r="C28" s="42">
        <f>IF(M28="","",COUNTIF($M$3:M28,M28))</f>
        <v>2</v>
      </c>
      <c r="D28" s="41" t="str">
        <f t="shared" si="0"/>
        <v>YPDA, 2</v>
      </c>
      <c r="E28" s="42" t="s">
        <v>30</v>
      </c>
      <c r="F28" s="112" t="s">
        <v>58</v>
      </c>
      <c r="G28" s="41"/>
      <c r="H28" s="41">
        <f>IF(OR(M28="",E28=""),"",IF(COUNTIF($O$3:$O$92,O28)&gt;1,COUNTIF($O$3:O28,O28),""))</f>
        <v>2</v>
      </c>
      <c r="M28" s="6" t="str">
        <f t="shared" si="4"/>
        <v>Arrangement 2</v>
      </c>
      <c r="N28" s="6" t="str">
        <f t="shared" si="1"/>
        <v>[control]</v>
      </c>
      <c r="O28" s="6" t="str">
        <f t="shared" si="2"/>
        <v>Arrangement 2|A|YPDA|[control]</v>
      </c>
      <c r="P28" s="6" t="str">
        <f t="shared" si="3"/>
        <v>OK</v>
      </c>
    </row>
    <row r="29" spans="1:16">
      <c r="A29" s="5" t="str">
        <f>IF(M29="","",IFERROR(INDEX(Overview!$B$3:$B$62,MATCH(M29,Overview!$U$3:$U$62,0)),""))</f>
        <v>16.08.26</v>
      </c>
      <c r="B29" s="4"/>
      <c r="C29" s="34">
        <f>IF(M29="","",COUNTIF($M$3:M29,M29))</f>
        <v>3</v>
      </c>
      <c r="D29" s="33" t="str">
        <f t="shared" si="0"/>
        <v>YPDA, 3</v>
      </c>
      <c r="E29" s="34" t="s">
        <v>30</v>
      </c>
      <c r="F29" s="113" t="s">
        <v>58</v>
      </c>
      <c r="G29" s="33"/>
      <c r="H29" s="33">
        <f>IF(OR(M29="",E29=""),"",IF(COUNTIF($O$3:$O$92,O29)&gt;1,COUNTIF($O$3:O29,O29),""))</f>
        <v>3</v>
      </c>
      <c r="M29" s="6" t="str">
        <f t="shared" si="4"/>
        <v>Arrangement 2</v>
      </c>
      <c r="N29" s="6" t="str">
        <f t="shared" si="1"/>
        <v>[control]</v>
      </c>
      <c r="O29" s="6" t="str">
        <f t="shared" si="2"/>
        <v>Arrangement 2|A|YPDA|[control]</v>
      </c>
      <c r="P29" s="6" t="str">
        <f t="shared" si="3"/>
        <v>OK</v>
      </c>
    </row>
    <row r="30" spans="1:16">
      <c r="A30" s="5" t="str">
        <f>IF(M30="","",IFERROR(INDEX(Overview!$B$3:$B$62,MATCH(M30,Overview!$U$3:$U$62,0)),""))</f>
        <v>16.08.26</v>
      </c>
      <c r="B30" s="4"/>
      <c r="C30" s="34">
        <f>IF(M30="","",COUNTIF($M$3:M30,M30))</f>
        <v>4</v>
      </c>
      <c r="D30" s="33" t="str">
        <f t="shared" si="0"/>
        <v>YPDA, 4</v>
      </c>
      <c r="E30" s="34" t="s">
        <v>30</v>
      </c>
      <c r="F30" s="113" t="s">
        <v>58</v>
      </c>
      <c r="G30" s="33"/>
      <c r="H30" s="33">
        <f>IF(OR(M30="",E30=""),"",IF(COUNTIF($O$3:$O$92,O30)&gt;1,COUNTIF($O$3:O30,O30),""))</f>
        <v>4</v>
      </c>
      <c r="M30" s="6" t="str">
        <f t="shared" si="4"/>
        <v>Arrangement 2</v>
      </c>
      <c r="N30" s="6" t="str">
        <f t="shared" si="1"/>
        <v>[control]</v>
      </c>
      <c r="O30" s="6" t="str">
        <f t="shared" si="2"/>
        <v>Arrangement 2|A|YPDA|[control]</v>
      </c>
      <c r="P30" s="6" t="str">
        <f t="shared" si="3"/>
        <v>OK</v>
      </c>
    </row>
    <row r="31" spans="1:16">
      <c r="A31" s="5" t="str">
        <f>IF(M31="","",IFERROR(INDEX(Overview!$B$3:$B$62,MATCH(M31,Overview!$U$3:$U$62,0)),""))</f>
        <v>16.08.26</v>
      </c>
      <c r="B31" s="4"/>
      <c r="C31" s="34">
        <f>IF(M31="","",COUNTIF($M$3:M31,M31))</f>
        <v>5</v>
      </c>
      <c r="D31" s="43" t="str">
        <f t="shared" si="0"/>
        <v>YPDA + heat, 1</v>
      </c>
      <c r="E31" s="34" t="s">
        <v>30</v>
      </c>
      <c r="F31" s="113" t="s">
        <v>58</v>
      </c>
      <c r="G31" s="43" t="s">
        <v>59</v>
      </c>
      <c r="H31" s="43">
        <f>IF(OR(M31="",E31=""),"",IF(COUNTIF($O$3:$O$92,O31)&gt;1,COUNTIF($O$3:O31,O31),""))</f>
        <v>1</v>
      </c>
      <c r="M31" s="6" t="str">
        <f t="shared" si="4"/>
        <v>Arrangement 2</v>
      </c>
      <c r="N31" s="6" t="str">
        <f t="shared" si="1"/>
        <v>heat</v>
      </c>
      <c r="O31" s="6" t="str">
        <f t="shared" si="2"/>
        <v>Arrangement 2|A|YPDA|heat</v>
      </c>
      <c r="P31" s="6" t="str">
        <f t="shared" si="3"/>
        <v>OK</v>
      </c>
    </row>
    <row r="32" spans="1:16">
      <c r="A32" s="5" t="str">
        <f>IF(M32="","",IFERROR(INDEX(Overview!$B$3:$B$62,MATCH(M32,Overview!$U$3:$U$62,0)),""))</f>
        <v>16.08.26</v>
      </c>
      <c r="B32" s="4"/>
      <c r="C32" s="34">
        <f>IF(M32="","",COUNTIF($M$3:M32,M32))</f>
        <v>6</v>
      </c>
      <c r="D32" s="43" t="str">
        <f t="shared" si="0"/>
        <v>YPDA + heat, 2</v>
      </c>
      <c r="E32" s="34" t="s">
        <v>30</v>
      </c>
      <c r="F32" s="113" t="s">
        <v>58</v>
      </c>
      <c r="G32" s="43" t="s">
        <v>59</v>
      </c>
      <c r="H32" s="43">
        <f>IF(OR(M32="",E32=""),"",IF(COUNTIF($O$3:$O$92,O32)&gt;1,COUNTIF($O$3:O32,O32),""))</f>
        <v>2</v>
      </c>
      <c r="M32" s="6" t="str">
        <f t="shared" si="4"/>
        <v>Arrangement 2</v>
      </c>
      <c r="N32" s="6" t="str">
        <f t="shared" si="1"/>
        <v>heat</v>
      </c>
      <c r="O32" s="6" t="str">
        <f t="shared" si="2"/>
        <v>Arrangement 2|A|YPDA|heat</v>
      </c>
      <c r="P32" s="6" t="str">
        <f t="shared" si="3"/>
        <v>OK</v>
      </c>
    </row>
    <row r="33" spans="1:16">
      <c r="A33" s="5" t="str">
        <f>IF(M33="","",IFERROR(INDEX(Overview!$B$3:$B$62,MATCH(M33,Overview!$U$3:$U$62,0)),""))</f>
        <v>16.08.26</v>
      </c>
      <c r="B33" s="4"/>
      <c r="C33" s="34">
        <f>IF(M33="","",COUNTIF($M$3:M33,M33))</f>
        <v>7</v>
      </c>
      <c r="D33" s="43" t="str">
        <f t="shared" si="0"/>
        <v>YPDA + heat, 3</v>
      </c>
      <c r="E33" s="34" t="s">
        <v>30</v>
      </c>
      <c r="F33" s="113" t="s">
        <v>58</v>
      </c>
      <c r="G33" s="43" t="s">
        <v>59</v>
      </c>
      <c r="H33" s="43">
        <f>IF(OR(M33="",E33=""),"",IF(COUNTIF($O$3:$O$92,O33)&gt;1,COUNTIF($O$3:O33,O33),""))</f>
        <v>3</v>
      </c>
      <c r="M33" s="6" t="str">
        <f t="shared" si="4"/>
        <v>Arrangement 2</v>
      </c>
      <c r="N33" s="6" t="str">
        <f t="shared" si="1"/>
        <v>heat</v>
      </c>
      <c r="O33" s="6" t="str">
        <f t="shared" si="2"/>
        <v>Arrangement 2|A|YPDA|heat</v>
      </c>
      <c r="P33" s="6" t="str">
        <f t="shared" si="3"/>
        <v>OK</v>
      </c>
    </row>
    <row r="34" spans="1:16">
      <c r="A34" s="5" t="str">
        <f>IF(M34="","",IFERROR(INDEX(Overview!$B$3:$B$62,MATCH(M34,Overview!$U$3:$U$62,0)),""))</f>
        <v>16.08.26</v>
      </c>
      <c r="B34" s="4"/>
      <c r="C34" s="34">
        <f>IF(M34="","",COUNTIF($M$3:M34,M34))</f>
        <v>8</v>
      </c>
      <c r="D34" s="43" t="str">
        <f t="shared" si="0"/>
        <v>YPDA + heat, 4</v>
      </c>
      <c r="E34" s="34" t="s">
        <v>30</v>
      </c>
      <c r="F34" s="113" t="s">
        <v>58</v>
      </c>
      <c r="G34" s="43" t="s">
        <v>59</v>
      </c>
      <c r="H34" s="43">
        <f>IF(OR(M34="",E34=""),"",IF(COUNTIF($O$3:$O$92,O34)&gt;1,COUNTIF($O$3:O34,O34),""))</f>
        <v>4</v>
      </c>
      <c r="M34" s="6" t="str">
        <f t="shared" si="4"/>
        <v>Arrangement 2</v>
      </c>
      <c r="N34" s="6" t="str">
        <f t="shared" si="1"/>
        <v>heat</v>
      </c>
      <c r="O34" s="6" t="str">
        <f t="shared" si="2"/>
        <v>Arrangement 2|A|YPDA|heat</v>
      </c>
      <c r="P34" s="6" t="str">
        <f t="shared" si="3"/>
        <v>OK</v>
      </c>
    </row>
    <row r="35" spans="1:16">
      <c r="A35" s="5" t="str">
        <f>IF(M35="","",IFERROR(INDEX(Overview!$B$3:$B$62,MATCH(M35,Overview!$U$3:$U$62,0)),""))</f>
        <v>16.08.26</v>
      </c>
      <c r="B35" s="4"/>
      <c r="C35" s="34">
        <f>IF(M35="","",COUNTIF($M$3:M35,M35))</f>
        <v>9</v>
      </c>
      <c r="D35" s="44" t="str">
        <f t="shared" ref="D35:D66" si="5">IF(M35="","",IF(AND(F35="",G35=""),"",IF(F35&lt;&gt;"",F35,"")&amp;IF(AND(F35&lt;&gt;"",G35&lt;&gt;"")," + ","")&amp;IF(G35&lt;&gt;"",G35,"")&amp;IF(H35&lt;&gt;"",", "&amp;H35,"")))</f>
        <v>YPDA + salt, 1</v>
      </c>
      <c r="E35" s="34" t="s">
        <v>30</v>
      </c>
      <c r="F35" s="113" t="s">
        <v>58</v>
      </c>
      <c r="G35" s="44" t="s">
        <v>60</v>
      </c>
      <c r="H35" s="44">
        <f>IF(OR(M35="",E35=""),"",IF(COUNTIF($O$3:$O$92,O35)&gt;1,COUNTIF($O$3:O35,O35),""))</f>
        <v>1</v>
      </c>
      <c r="M35" s="6" t="str">
        <f t="shared" si="4"/>
        <v>Arrangement 2</v>
      </c>
      <c r="N35" s="6" t="str">
        <f t="shared" ref="N35:N66" si="6">IF(M35="","",IF(G35="","[control]",G35))</f>
        <v>salt</v>
      </c>
      <c r="O35" s="6" t="str">
        <f t="shared" ref="O35:O66" si="7">IF(M35="","",M35&amp;"|"&amp;E35&amp;"|"&amp;IF(F35="","[blank]",F35)&amp;"|"&amp;N35)</f>
        <v>Arrangement 2|A|YPDA|salt</v>
      </c>
      <c r="P35" s="6" t="str">
        <f t="shared" ref="P35:P66" si="8">IF(M35="","",IF(E35="","Missing Set",IF(AND(B35&lt;&gt;"",COUNTIF($B$3:$B$92,B35)&gt;1),"Duplicate Arrangement start",IF(D35="","Blank description","OK"))))</f>
        <v>OK</v>
      </c>
    </row>
    <row r="36" spans="1:16">
      <c r="A36" s="5" t="str">
        <f>IF(M36="","",IFERROR(INDEX(Overview!$B$3:$B$62,MATCH(M36,Overview!$U$3:$U$62,0)),""))</f>
        <v>16.08.26</v>
      </c>
      <c r="B36" s="4"/>
      <c r="C36" s="34">
        <f>IF(M36="","",COUNTIF($M$3:M36,M36))</f>
        <v>10</v>
      </c>
      <c r="D36" s="44" t="str">
        <f t="shared" si="5"/>
        <v>YPDA + salt, 2</v>
      </c>
      <c r="E36" s="34" t="s">
        <v>30</v>
      </c>
      <c r="F36" s="113" t="s">
        <v>58</v>
      </c>
      <c r="G36" s="44" t="s">
        <v>60</v>
      </c>
      <c r="H36" s="44">
        <f>IF(OR(M36="",E36=""),"",IF(COUNTIF($O$3:$O$92,O36)&gt;1,COUNTIF($O$3:O36,O36),""))</f>
        <v>2</v>
      </c>
      <c r="M36" s="6" t="str">
        <f t="shared" ref="M36:M67" si="9">IF(COUNTA(E36:G36)=0,"",IF(B36&lt;&gt;"",B36,M35))</f>
        <v>Arrangement 2</v>
      </c>
      <c r="N36" s="6" t="str">
        <f t="shared" si="6"/>
        <v>salt</v>
      </c>
      <c r="O36" s="6" t="str">
        <f t="shared" si="7"/>
        <v>Arrangement 2|A|YPDA|salt</v>
      </c>
      <c r="P36" s="6" t="str">
        <f t="shared" si="8"/>
        <v>OK</v>
      </c>
    </row>
    <row r="37" spans="1:16">
      <c r="A37" s="5" t="str">
        <f>IF(M37="","",IFERROR(INDEX(Overview!$B$3:$B$62,MATCH(M37,Overview!$U$3:$U$62,0)),""))</f>
        <v>16.08.26</v>
      </c>
      <c r="B37" s="4"/>
      <c r="C37" s="34">
        <f>IF(M37="","",COUNTIF($M$3:M37,M37))</f>
        <v>11</v>
      </c>
      <c r="D37" s="44" t="str">
        <f t="shared" si="5"/>
        <v>YPDA + salt, 3</v>
      </c>
      <c r="E37" s="34" t="s">
        <v>30</v>
      </c>
      <c r="F37" s="113" t="s">
        <v>58</v>
      </c>
      <c r="G37" s="44" t="s">
        <v>60</v>
      </c>
      <c r="H37" s="44">
        <f>IF(OR(M37="",E37=""),"",IF(COUNTIF($O$3:$O$92,O37)&gt;1,COUNTIF($O$3:O37,O37),""))</f>
        <v>3</v>
      </c>
      <c r="M37" s="6" t="str">
        <f t="shared" si="9"/>
        <v>Arrangement 2</v>
      </c>
      <c r="N37" s="6" t="str">
        <f t="shared" si="6"/>
        <v>salt</v>
      </c>
      <c r="O37" s="6" t="str">
        <f t="shared" si="7"/>
        <v>Arrangement 2|A|YPDA|salt</v>
      </c>
      <c r="P37" s="6" t="str">
        <f t="shared" si="8"/>
        <v>OK</v>
      </c>
    </row>
    <row r="38" spans="1:16">
      <c r="A38" s="5" t="str">
        <f>IF(M38="","",IFERROR(INDEX(Overview!$B$3:$B$62,MATCH(M38,Overview!$U$3:$U$62,0)),""))</f>
        <v>16.08.26</v>
      </c>
      <c r="B38" s="4"/>
      <c r="C38" s="34">
        <f>IF(M38="","",COUNTIF($M$3:M38,M38))</f>
        <v>12</v>
      </c>
      <c r="D38" s="44" t="str">
        <f t="shared" si="5"/>
        <v>YPDA + salt, 4</v>
      </c>
      <c r="E38" s="34" t="s">
        <v>30</v>
      </c>
      <c r="F38" s="113" t="s">
        <v>58</v>
      </c>
      <c r="G38" s="44" t="s">
        <v>60</v>
      </c>
      <c r="H38" s="44">
        <f>IF(OR(M38="",E38=""),"",IF(COUNTIF($O$3:$O$92,O38)&gt;1,COUNTIF($O$3:O38,O38),""))</f>
        <v>4</v>
      </c>
      <c r="M38" s="6" t="str">
        <f t="shared" si="9"/>
        <v>Arrangement 2</v>
      </c>
      <c r="N38" s="6" t="str">
        <f t="shared" si="6"/>
        <v>salt</v>
      </c>
      <c r="O38" s="6" t="str">
        <f t="shared" si="7"/>
        <v>Arrangement 2|A|YPDA|salt</v>
      </c>
      <c r="P38" s="6" t="str">
        <f t="shared" si="8"/>
        <v>OK</v>
      </c>
    </row>
    <row r="39" spans="1:16">
      <c r="A39" s="5" t="str">
        <f>IF(M39="","",IFERROR(INDEX(Overview!$B$3:$B$62,MATCH(M39,Overview!$U$3:$U$62,0)),""))</f>
        <v>16.08.26</v>
      </c>
      <c r="B39" s="4"/>
      <c r="C39" s="45">
        <f>IF(M39="","",COUNTIF($M$3:M39,M39))</f>
        <v>13</v>
      </c>
      <c r="D39" s="33" t="str">
        <f t="shared" si="5"/>
        <v>YPDA, 1</v>
      </c>
      <c r="E39" s="45" t="s">
        <v>39</v>
      </c>
      <c r="F39" s="113" t="s">
        <v>58</v>
      </c>
      <c r="G39" s="33"/>
      <c r="H39" s="33">
        <f>IF(OR(M39="",E39=""),"",IF(COUNTIF($O$3:$O$92,O39)&gt;1,COUNTIF($O$3:O39,O39),""))</f>
        <v>1</v>
      </c>
      <c r="M39" s="6" t="str">
        <f t="shared" si="9"/>
        <v>Arrangement 2</v>
      </c>
      <c r="N39" s="6" t="str">
        <f t="shared" si="6"/>
        <v>[control]</v>
      </c>
      <c r="O39" s="6" t="str">
        <f t="shared" si="7"/>
        <v>Arrangement 2|B|YPDA|[control]</v>
      </c>
      <c r="P39" s="6" t="str">
        <f t="shared" si="8"/>
        <v>OK</v>
      </c>
    </row>
    <row r="40" spans="1:16">
      <c r="A40" s="5" t="str">
        <f>IF(M40="","",IFERROR(INDEX(Overview!$B$3:$B$62,MATCH(M40,Overview!$U$3:$U$62,0)),""))</f>
        <v>16.08.26</v>
      </c>
      <c r="B40" s="4"/>
      <c r="C40" s="45">
        <f>IF(M40="","",COUNTIF($M$3:M40,M40))</f>
        <v>14</v>
      </c>
      <c r="D40" s="33" t="str">
        <f t="shared" si="5"/>
        <v>YPDA, 2</v>
      </c>
      <c r="E40" s="45" t="s">
        <v>39</v>
      </c>
      <c r="F40" s="113" t="s">
        <v>58</v>
      </c>
      <c r="G40" s="33"/>
      <c r="H40" s="33">
        <f>IF(OR(M40="",E40=""),"",IF(COUNTIF($O$3:$O$92,O40)&gt;1,COUNTIF($O$3:O40,O40),""))</f>
        <v>2</v>
      </c>
      <c r="M40" s="6" t="str">
        <f t="shared" si="9"/>
        <v>Arrangement 2</v>
      </c>
      <c r="N40" s="6" t="str">
        <f t="shared" si="6"/>
        <v>[control]</v>
      </c>
      <c r="O40" s="6" t="str">
        <f t="shared" si="7"/>
        <v>Arrangement 2|B|YPDA|[control]</v>
      </c>
      <c r="P40" s="6" t="str">
        <f t="shared" si="8"/>
        <v>OK</v>
      </c>
    </row>
    <row r="41" spans="1:16">
      <c r="A41" s="5" t="str">
        <f>IF(M41="","",IFERROR(INDEX(Overview!$B$3:$B$62,MATCH(M41,Overview!$U$3:$U$62,0)),""))</f>
        <v>16.08.26</v>
      </c>
      <c r="B41" s="4"/>
      <c r="C41" s="45">
        <f>IF(M41="","",COUNTIF($M$3:M41,M41))</f>
        <v>15</v>
      </c>
      <c r="D41" s="33" t="str">
        <f t="shared" si="5"/>
        <v>YPDA, 3</v>
      </c>
      <c r="E41" s="45" t="s">
        <v>39</v>
      </c>
      <c r="F41" s="113" t="s">
        <v>58</v>
      </c>
      <c r="G41" s="33"/>
      <c r="H41" s="33">
        <f>IF(OR(M41="",E41=""),"",IF(COUNTIF($O$3:$O$92,O41)&gt;1,COUNTIF($O$3:O41,O41),""))</f>
        <v>3</v>
      </c>
      <c r="M41" s="6" t="str">
        <f t="shared" si="9"/>
        <v>Arrangement 2</v>
      </c>
      <c r="N41" s="6" t="str">
        <f t="shared" si="6"/>
        <v>[control]</v>
      </c>
      <c r="O41" s="6" t="str">
        <f t="shared" si="7"/>
        <v>Arrangement 2|B|YPDA|[control]</v>
      </c>
      <c r="P41" s="6" t="str">
        <f t="shared" si="8"/>
        <v>OK</v>
      </c>
    </row>
    <row r="42" spans="1:16">
      <c r="A42" s="5" t="str">
        <f>IF(M42="","",IFERROR(INDEX(Overview!$B$3:$B$62,MATCH(M42,Overview!$U$3:$U$62,0)),""))</f>
        <v>16.08.26</v>
      </c>
      <c r="B42" s="4"/>
      <c r="C42" s="45">
        <f>IF(M42="","",COUNTIF($M$3:M42,M42))</f>
        <v>16</v>
      </c>
      <c r="D42" s="33" t="str">
        <f t="shared" si="5"/>
        <v>YPDA, 4</v>
      </c>
      <c r="E42" s="45" t="s">
        <v>39</v>
      </c>
      <c r="F42" s="113" t="s">
        <v>58</v>
      </c>
      <c r="G42" s="33"/>
      <c r="H42" s="33">
        <f>IF(OR(M42="",E42=""),"",IF(COUNTIF($O$3:$O$92,O42)&gt;1,COUNTIF($O$3:O42,O42),""))</f>
        <v>4</v>
      </c>
      <c r="M42" s="6" t="str">
        <f t="shared" si="9"/>
        <v>Arrangement 2</v>
      </c>
      <c r="N42" s="6" t="str">
        <f t="shared" si="6"/>
        <v>[control]</v>
      </c>
      <c r="O42" s="6" t="str">
        <f t="shared" si="7"/>
        <v>Arrangement 2|B|YPDA|[control]</v>
      </c>
      <c r="P42" s="6" t="str">
        <f t="shared" si="8"/>
        <v>OK</v>
      </c>
    </row>
    <row r="43" spans="1:16">
      <c r="A43" s="5" t="str">
        <f>IF(M43="","",IFERROR(INDEX(Overview!$B$3:$B$62,MATCH(M43,Overview!$U$3:$U$62,0)),""))</f>
        <v>16.08.26</v>
      </c>
      <c r="B43" s="4"/>
      <c r="C43" s="45">
        <f>IF(M43="","",COUNTIF($M$3:M43,M43))</f>
        <v>17</v>
      </c>
      <c r="D43" s="43" t="str">
        <f t="shared" si="5"/>
        <v>YPDA + heat, 1</v>
      </c>
      <c r="E43" s="45" t="s">
        <v>39</v>
      </c>
      <c r="F43" s="113" t="s">
        <v>58</v>
      </c>
      <c r="G43" s="43" t="s">
        <v>59</v>
      </c>
      <c r="H43" s="43">
        <f>IF(OR(M43="",E43=""),"",IF(COUNTIF($O$3:$O$92,O43)&gt;1,COUNTIF($O$3:O43,O43),""))</f>
        <v>1</v>
      </c>
      <c r="M43" s="6" t="str">
        <f t="shared" si="9"/>
        <v>Arrangement 2</v>
      </c>
      <c r="N43" s="6" t="str">
        <f t="shared" si="6"/>
        <v>heat</v>
      </c>
      <c r="O43" s="6" t="str">
        <f t="shared" si="7"/>
        <v>Arrangement 2|B|YPDA|heat</v>
      </c>
      <c r="P43" s="6" t="str">
        <f t="shared" si="8"/>
        <v>OK</v>
      </c>
    </row>
    <row r="44" spans="1:16">
      <c r="A44" s="5" t="str">
        <f>IF(M44="","",IFERROR(INDEX(Overview!$B$3:$B$62,MATCH(M44,Overview!$U$3:$U$62,0)),""))</f>
        <v>16.08.26</v>
      </c>
      <c r="B44" s="4"/>
      <c r="C44" s="45">
        <f>IF(M44="","",COUNTIF($M$3:M44,M44))</f>
        <v>18</v>
      </c>
      <c r="D44" s="43" t="str">
        <f t="shared" si="5"/>
        <v>YPDA + heat, 2</v>
      </c>
      <c r="E44" s="45" t="s">
        <v>39</v>
      </c>
      <c r="F44" s="113" t="s">
        <v>58</v>
      </c>
      <c r="G44" s="43" t="s">
        <v>59</v>
      </c>
      <c r="H44" s="43">
        <f>IF(OR(M44="",E44=""),"",IF(COUNTIF($O$3:$O$92,O44)&gt;1,COUNTIF($O$3:O44,O44),""))</f>
        <v>2</v>
      </c>
      <c r="M44" s="6" t="str">
        <f t="shared" si="9"/>
        <v>Arrangement 2</v>
      </c>
      <c r="N44" s="6" t="str">
        <f t="shared" si="6"/>
        <v>heat</v>
      </c>
      <c r="O44" s="6" t="str">
        <f t="shared" si="7"/>
        <v>Arrangement 2|B|YPDA|heat</v>
      </c>
      <c r="P44" s="6" t="str">
        <f t="shared" si="8"/>
        <v>OK</v>
      </c>
    </row>
    <row r="45" spans="1:16">
      <c r="A45" s="5" t="str">
        <f>IF(M45="","",IFERROR(INDEX(Overview!$B$3:$B$62,MATCH(M45,Overview!$U$3:$U$62,0)),""))</f>
        <v>16.08.26</v>
      </c>
      <c r="B45" s="4"/>
      <c r="C45" s="45">
        <f>IF(M45="","",COUNTIF($M$3:M45,M45))</f>
        <v>19</v>
      </c>
      <c r="D45" s="43" t="str">
        <f t="shared" si="5"/>
        <v>YPDA + heat, 3</v>
      </c>
      <c r="E45" s="45" t="s">
        <v>39</v>
      </c>
      <c r="F45" s="113" t="s">
        <v>58</v>
      </c>
      <c r="G45" s="43" t="s">
        <v>59</v>
      </c>
      <c r="H45" s="43">
        <f>IF(OR(M45="",E45=""),"",IF(COUNTIF($O$3:$O$92,O45)&gt;1,COUNTIF($O$3:O45,O45),""))</f>
        <v>3</v>
      </c>
      <c r="M45" s="6" t="str">
        <f t="shared" si="9"/>
        <v>Arrangement 2</v>
      </c>
      <c r="N45" s="6" t="str">
        <f t="shared" si="6"/>
        <v>heat</v>
      </c>
      <c r="O45" s="6" t="str">
        <f t="shared" si="7"/>
        <v>Arrangement 2|B|YPDA|heat</v>
      </c>
      <c r="P45" s="6" t="str">
        <f t="shared" si="8"/>
        <v>OK</v>
      </c>
    </row>
    <row r="46" spans="1:16">
      <c r="A46" s="5" t="str">
        <f>IF(M46="","",IFERROR(INDEX(Overview!$B$3:$B$62,MATCH(M46,Overview!$U$3:$U$62,0)),""))</f>
        <v>16.08.26</v>
      </c>
      <c r="B46" s="4"/>
      <c r="C46" s="45">
        <f>IF(M46="","",COUNTIF($M$3:M46,M46))</f>
        <v>20</v>
      </c>
      <c r="D46" s="43" t="str">
        <f t="shared" si="5"/>
        <v>YPDA + heat, 4</v>
      </c>
      <c r="E46" s="45" t="s">
        <v>39</v>
      </c>
      <c r="F46" s="113" t="s">
        <v>58</v>
      </c>
      <c r="G46" s="43" t="s">
        <v>59</v>
      </c>
      <c r="H46" s="43">
        <f>IF(OR(M46="",E46=""),"",IF(COUNTIF($O$3:$O$92,O46)&gt;1,COUNTIF($O$3:O46,O46),""))</f>
        <v>4</v>
      </c>
      <c r="M46" s="6" t="str">
        <f t="shared" si="9"/>
        <v>Arrangement 2</v>
      </c>
      <c r="N46" s="6" t="str">
        <f t="shared" si="6"/>
        <v>heat</v>
      </c>
      <c r="O46" s="6" t="str">
        <f t="shared" si="7"/>
        <v>Arrangement 2|B|YPDA|heat</v>
      </c>
      <c r="P46" s="6" t="str">
        <f t="shared" si="8"/>
        <v>OK</v>
      </c>
    </row>
    <row r="47" spans="1:16">
      <c r="A47" s="5" t="str">
        <f>IF(M47="","",IFERROR(INDEX(Overview!$B$3:$B$62,MATCH(M47,Overview!$U$3:$U$62,0)),""))</f>
        <v>16.08.26</v>
      </c>
      <c r="B47" s="4"/>
      <c r="C47" s="45">
        <f>IF(M47="","",COUNTIF($M$3:M47,M47))</f>
        <v>21</v>
      </c>
      <c r="D47" s="44" t="str">
        <f t="shared" si="5"/>
        <v>YPDA + salt, 1</v>
      </c>
      <c r="E47" s="45" t="s">
        <v>39</v>
      </c>
      <c r="F47" s="113" t="s">
        <v>58</v>
      </c>
      <c r="G47" s="44" t="s">
        <v>60</v>
      </c>
      <c r="H47" s="44">
        <f>IF(OR(M47="",E47=""),"",IF(COUNTIF($O$3:$O$92,O47)&gt;1,COUNTIF($O$3:O47,O47),""))</f>
        <v>1</v>
      </c>
      <c r="M47" s="6" t="str">
        <f t="shared" si="9"/>
        <v>Arrangement 2</v>
      </c>
      <c r="N47" s="6" t="str">
        <f t="shared" si="6"/>
        <v>salt</v>
      </c>
      <c r="O47" s="6" t="str">
        <f t="shared" si="7"/>
        <v>Arrangement 2|B|YPDA|salt</v>
      </c>
      <c r="P47" s="6" t="str">
        <f t="shared" si="8"/>
        <v>OK</v>
      </c>
    </row>
    <row r="48" spans="1:16">
      <c r="A48" s="5" t="str">
        <f>IF(M48="","",IFERROR(INDEX(Overview!$B$3:$B$62,MATCH(M48,Overview!$U$3:$U$62,0)),""))</f>
        <v>16.08.26</v>
      </c>
      <c r="B48" s="4"/>
      <c r="C48" s="45">
        <f>IF(M48="","",COUNTIF($M$3:M48,M48))</f>
        <v>22</v>
      </c>
      <c r="D48" s="44" t="str">
        <f t="shared" si="5"/>
        <v>YPDA + salt, 2</v>
      </c>
      <c r="E48" s="45" t="s">
        <v>39</v>
      </c>
      <c r="F48" s="113" t="s">
        <v>58</v>
      </c>
      <c r="G48" s="44" t="s">
        <v>60</v>
      </c>
      <c r="H48" s="44">
        <f>IF(OR(M48="",E48=""),"",IF(COUNTIF($O$3:$O$92,O48)&gt;1,COUNTIF($O$3:O48,O48),""))</f>
        <v>2</v>
      </c>
      <c r="M48" s="6" t="str">
        <f t="shared" si="9"/>
        <v>Arrangement 2</v>
      </c>
      <c r="N48" s="6" t="str">
        <f t="shared" si="6"/>
        <v>salt</v>
      </c>
      <c r="O48" s="6" t="str">
        <f t="shared" si="7"/>
        <v>Arrangement 2|B|YPDA|salt</v>
      </c>
      <c r="P48" s="6" t="str">
        <f t="shared" si="8"/>
        <v>OK</v>
      </c>
    </row>
    <row r="49" spans="1:16">
      <c r="A49" s="5" t="str">
        <f>IF(M49="","",IFERROR(INDEX(Overview!$B$3:$B$62,MATCH(M49,Overview!$U$3:$U$62,0)),""))</f>
        <v>16.08.26</v>
      </c>
      <c r="B49" s="4"/>
      <c r="C49" s="45">
        <f>IF(M49="","",COUNTIF($M$3:M49,M49))</f>
        <v>23</v>
      </c>
      <c r="D49" s="44" t="str">
        <f t="shared" si="5"/>
        <v>YPDA + salt, 3</v>
      </c>
      <c r="E49" s="45" t="s">
        <v>39</v>
      </c>
      <c r="F49" s="113" t="s">
        <v>58</v>
      </c>
      <c r="G49" s="44" t="s">
        <v>60</v>
      </c>
      <c r="H49" s="44">
        <f>IF(OR(M49="",E49=""),"",IF(COUNTIF($O$3:$O$92,O49)&gt;1,COUNTIF($O$3:O49,O49),""))</f>
        <v>3</v>
      </c>
      <c r="M49" s="6" t="str">
        <f t="shared" si="9"/>
        <v>Arrangement 2</v>
      </c>
      <c r="N49" s="6" t="str">
        <f t="shared" si="6"/>
        <v>salt</v>
      </c>
      <c r="O49" s="6" t="str">
        <f t="shared" si="7"/>
        <v>Arrangement 2|B|YPDA|salt</v>
      </c>
      <c r="P49" s="6" t="str">
        <f t="shared" si="8"/>
        <v>OK</v>
      </c>
    </row>
    <row r="50" spans="1:16">
      <c r="A50" s="5" t="str">
        <f>IF(M50="","",IFERROR(INDEX(Overview!$B$3:$B$62,MATCH(M50,Overview!$U$3:$U$62,0)),""))</f>
        <v>16.08.26</v>
      </c>
      <c r="B50" s="4"/>
      <c r="C50" s="45">
        <f>IF(M50="","",COUNTIF($M$3:M50,M50))</f>
        <v>24</v>
      </c>
      <c r="D50" s="44" t="str">
        <f t="shared" si="5"/>
        <v>YPDA + salt, 4</v>
      </c>
      <c r="E50" s="45" t="s">
        <v>39</v>
      </c>
      <c r="F50" s="113" t="s">
        <v>58</v>
      </c>
      <c r="G50" s="44" t="s">
        <v>60</v>
      </c>
      <c r="H50" s="44">
        <f>IF(OR(M50="",E50=""),"",IF(COUNTIF($O$3:$O$92,O50)&gt;1,COUNTIF($O$3:O50,O50),""))</f>
        <v>4</v>
      </c>
      <c r="M50" s="6" t="str">
        <f t="shared" si="9"/>
        <v>Arrangement 2</v>
      </c>
      <c r="N50" s="6" t="str">
        <f t="shared" si="6"/>
        <v>salt</v>
      </c>
      <c r="O50" s="6" t="str">
        <f t="shared" si="7"/>
        <v>Arrangement 2|B|YPDA|salt</v>
      </c>
      <c r="P50" s="6" t="str">
        <f t="shared" si="8"/>
        <v>OK</v>
      </c>
    </row>
    <row r="51" spans="1:16">
      <c r="A51" s="5" t="str">
        <f>IF(M51="","",IFERROR(INDEX(Overview!$B$3:$B$62,MATCH(M51,Overview!$U$3:$U$62,0)),""))</f>
        <v>16.08.26</v>
      </c>
      <c r="B51" s="4"/>
      <c r="C51" s="55">
        <f>IF(M51="","",COUNTIF($M$3:M51,M51))</f>
        <v>25</v>
      </c>
      <c r="D51" s="48" t="str">
        <f t="shared" si="5"/>
        <v>sugar</v>
      </c>
      <c r="E51" s="55" t="s">
        <v>115</v>
      </c>
      <c r="F51" s="113"/>
      <c r="G51" s="48" t="s">
        <v>114</v>
      </c>
      <c r="H51" s="48" t="str">
        <f>IF(OR(M51="",E51=""),"",IF(COUNTIF($O$3:$O$92,O51)&gt;1,COUNTIF($O$3:O51,O51),""))</f>
        <v/>
      </c>
      <c r="M51" s="6" t="str">
        <f t="shared" si="9"/>
        <v>Arrangement 2</v>
      </c>
      <c r="N51" s="6" t="str">
        <f t="shared" si="6"/>
        <v>sugar</v>
      </c>
      <c r="O51" s="6" t="str">
        <f t="shared" si="7"/>
        <v>Arrangement 2|c|[blank]|sugar</v>
      </c>
      <c r="P51" s="6" t="str">
        <f t="shared" si="8"/>
        <v>OK</v>
      </c>
    </row>
    <row r="52" spans="1:16">
      <c r="A52" s="5" t="str">
        <f>IF(M52="","",IFERROR(INDEX(Overview!$B$3:$B$62,MATCH(M52,Overview!$U$3:$U$62,0)),""))</f>
        <v/>
      </c>
      <c r="B52" s="4"/>
      <c r="C52" s="113" t="str">
        <f>IF(M52="","",COUNTIF($M$3:M52,M52))</f>
        <v/>
      </c>
      <c r="D52" s="113" t="str">
        <f t="shared" si="5"/>
        <v/>
      </c>
      <c r="E52" s="113"/>
      <c r="F52" s="113"/>
      <c r="G52" s="113"/>
      <c r="H52" s="113" t="str">
        <f>IF(OR(M52="",E52=""),"",IF(COUNTIF($O$3:$O$92,O52)&gt;1,COUNTIF($O$3:O52,O52),""))</f>
        <v/>
      </c>
      <c r="M52" s="6" t="str">
        <f t="shared" si="9"/>
        <v/>
      </c>
      <c r="N52" s="6" t="str">
        <f t="shared" si="6"/>
        <v/>
      </c>
      <c r="O52" s="6" t="str">
        <f t="shared" si="7"/>
        <v/>
      </c>
      <c r="P52" s="6" t="str">
        <f t="shared" si="8"/>
        <v/>
      </c>
    </row>
    <row r="53" spans="1:16">
      <c r="A53" s="5" t="str">
        <f>IF(M53="","",IFERROR(INDEX(Overview!$B$3:$B$62,MATCH(M53,Overview!$U$3:$U$62,0)),""))</f>
        <v/>
      </c>
      <c r="B53" s="4"/>
      <c r="C53" s="113" t="str">
        <f>IF(M53="","",COUNTIF($M$3:M53,M53))</f>
        <v/>
      </c>
      <c r="D53" s="113" t="str">
        <f t="shared" si="5"/>
        <v/>
      </c>
      <c r="E53" s="113"/>
      <c r="F53" s="113"/>
      <c r="G53" s="113"/>
      <c r="H53" s="113" t="str">
        <f>IF(OR(M53="",E53=""),"",IF(COUNTIF($O$3:$O$92,O53)&gt;1,COUNTIF($O$3:O53,O53),""))</f>
        <v/>
      </c>
      <c r="M53" s="6" t="str">
        <f t="shared" si="9"/>
        <v/>
      </c>
      <c r="N53" s="6" t="str">
        <f t="shared" si="6"/>
        <v/>
      </c>
      <c r="O53" s="6" t="str">
        <f t="shared" si="7"/>
        <v/>
      </c>
      <c r="P53" s="6" t="str">
        <f t="shared" si="8"/>
        <v/>
      </c>
    </row>
    <row r="54" spans="1:16">
      <c r="A54" s="5" t="str">
        <f>IF(M54="","",IFERROR(INDEX(Overview!$B$3:$B$62,MATCH(M54,Overview!$U$3:$U$62,0)),""))</f>
        <v/>
      </c>
      <c r="B54" s="4"/>
      <c r="C54" s="113" t="str">
        <f>IF(M54="","",COUNTIF($M$3:M54,M54))</f>
        <v/>
      </c>
      <c r="D54" s="113" t="str">
        <f t="shared" si="5"/>
        <v/>
      </c>
      <c r="E54" s="113"/>
      <c r="F54" s="113"/>
      <c r="G54" s="113"/>
      <c r="H54" s="113" t="str">
        <f>IF(OR(M54="",E54=""),"",IF(COUNTIF($O$3:$O$92,O54)&gt;1,COUNTIF($O$3:O54,O54),""))</f>
        <v/>
      </c>
      <c r="M54" s="6" t="str">
        <f t="shared" si="9"/>
        <v/>
      </c>
      <c r="N54" s="6" t="str">
        <f t="shared" si="6"/>
        <v/>
      </c>
      <c r="O54" s="6" t="str">
        <f t="shared" si="7"/>
        <v/>
      </c>
      <c r="P54" s="6" t="str">
        <f t="shared" si="8"/>
        <v/>
      </c>
    </row>
    <row r="55" spans="1:16">
      <c r="A55" s="5" t="str">
        <f>IF(M55="","",IFERROR(INDEX(Overview!$B$3:$B$62,MATCH(M55,Overview!$U$3:$U$62,0)),""))</f>
        <v/>
      </c>
      <c r="B55" s="4"/>
      <c r="C55" s="113" t="str">
        <f>IF(M55="","",COUNTIF($M$3:M55,M55))</f>
        <v/>
      </c>
      <c r="D55" s="113" t="str">
        <f t="shared" si="5"/>
        <v/>
      </c>
      <c r="E55" s="113"/>
      <c r="F55" s="113"/>
      <c r="G55" s="113"/>
      <c r="H55" s="113" t="str">
        <f>IF(OR(M55="",E55=""),"",IF(COUNTIF($O$3:$O$92,O55)&gt;1,COUNTIF($O$3:O55,O55),""))</f>
        <v/>
      </c>
      <c r="M55" s="6" t="str">
        <f t="shared" si="9"/>
        <v/>
      </c>
      <c r="N55" s="6" t="str">
        <f t="shared" si="6"/>
        <v/>
      </c>
      <c r="O55" s="6" t="str">
        <f t="shared" si="7"/>
        <v/>
      </c>
      <c r="P55" s="6" t="str">
        <f t="shared" si="8"/>
        <v/>
      </c>
    </row>
    <row r="56" spans="1:16">
      <c r="A56" s="5" t="str">
        <f>IF(M56="","",IFERROR(INDEX(Overview!$B$3:$B$62,MATCH(M56,Overview!$U$3:$U$62,0)),""))</f>
        <v/>
      </c>
      <c r="B56" s="4"/>
      <c r="C56" s="113" t="str">
        <f>IF(M56="","",COUNTIF($M$3:M56,M56))</f>
        <v/>
      </c>
      <c r="D56" s="113" t="str">
        <f t="shared" si="5"/>
        <v/>
      </c>
      <c r="E56" s="113"/>
      <c r="F56" s="113"/>
      <c r="G56" s="113"/>
      <c r="H56" s="113" t="str">
        <f>IF(OR(M56="",E56=""),"",IF(COUNTIF($O$3:$O$92,O56)&gt;1,COUNTIF($O$3:O56,O56),""))</f>
        <v/>
      </c>
      <c r="M56" s="6" t="str">
        <f t="shared" si="9"/>
        <v/>
      </c>
      <c r="N56" s="6" t="str">
        <f t="shared" si="6"/>
        <v/>
      </c>
      <c r="O56" s="6" t="str">
        <f t="shared" si="7"/>
        <v/>
      </c>
      <c r="P56" s="6" t="str">
        <f t="shared" si="8"/>
        <v/>
      </c>
    </row>
    <row r="57" spans="1:16">
      <c r="A57" s="5" t="str">
        <f>IF(M57="","",IFERROR(INDEX(Overview!$B$3:$B$62,MATCH(M57,Overview!$U$3:$U$62,0)),""))</f>
        <v/>
      </c>
      <c r="B57" s="4"/>
      <c r="C57" s="113" t="str">
        <f>IF(M57="","",COUNTIF($M$3:M57,M57))</f>
        <v/>
      </c>
      <c r="D57" s="113" t="str">
        <f t="shared" si="5"/>
        <v/>
      </c>
      <c r="E57" s="113"/>
      <c r="F57" s="113"/>
      <c r="G57" s="113"/>
      <c r="H57" s="113" t="str">
        <f>IF(OR(M57="",E57=""),"",IF(COUNTIF($O$3:$O$92,O57)&gt;1,COUNTIF($O$3:O57,O57),""))</f>
        <v/>
      </c>
      <c r="M57" s="6" t="str">
        <f t="shared" si="9"/>
        <v/>
      </c>
      <c r="N57" s="6" t="str">
        <f t="shared" si="6"/>
        <v/>
      </c>
      <c r="O57" s="6" t="str">
        <f t="shared" si="7"/>
        <v/>
      </c>
      <c r="P57" s="6" t="str">
        <f t="shared" si="8"/>
        <v/>
      </c>
    </row>
    <row r="58" spans="1:16">
      <c r="A58" s="5" t="str">
        <f>IF(M58="","",IFERROR(INDEX(Overview!$B$3:$B$62,MATCH(M58,Overview!$U$3:$U$62,0)),""))</f>
        <v/>
      </c>
      <c r="B58" s="4"/>
      <c r="C58" s="113" t="str">
        <f>IF(M58="","",COUNTIF($M$3:M58,M58))</f>
        <v/>
      </c>
      <c r="D58" s="113" t="str">
        <f t="shared" si="5"/>
        <v/>
      </c>
      <c r="E58" s="113"/>
      <c r="F58" s="113"/>
      <c r="G58" s="113"/>
      <c r="H58" s="113" t="str">
        <f>IF(OR(M58="",E58=""),"",IF(COUNTIF($O$3:$O$92,O58)&gt;1,COUNTIF($O$3:O58,O58),""))</f>
        <v/>
      </c>
      <c r="M58" s="6" t="str">
        <f t="shared" si="9"/>
        <v/>
      </c>
      <c r="N58" s="6" t="str">
        <f t="shared" si="6"/>
        <v/>
      </c>
      <c r="O58" s="6" t="str">
        <f t="shared" si="7"/>
        <v/>
      </c>
      <c r="P58" s="6" t="str">
        <f t="shared" si="8"/>
        <v/>
      </c>
    </row>
    <row r="59" spans="1:16">
      <c r="A59" s="5" t="str">
        <f>IF(M59="","",IFERROR(INDEX(Overview!$B$3:$B$62,MATCH(M59,Overview!$U$3:$U$62,0)),""))</f>
        <v/>
      </c>
      <c r="B59" s="4"/>
      <c r="C59" s="113" t="str">
        <f>IF(M59="","",COUNTIF($M$3:M59,M59))</f>
        <v/>
      </c>
      <c r="D59" s="113" t="str">
        <f t="shared" si="5"/>
        <v/>
      </c>
      <c r="E59" s="113"/>
      <c r="F59" s="113"/>
      <c r="G59" s="113"/>
      <c r="H59" s="113" t="str">
        <f>IF(OR(M59="",E59=""),"",IF(COUNTIF($O$3:$O$92,O59)&gt;1,COUNTIF($O$3:O59,O59),""))</f>
        <v/>
      </c>
      <c r="M59" s="6" t="str">
        <f t="shared" si="9"/>
        <v/>
      </c>
      <c r="N59" s="6" t="str">
        <f t="shared" si="6"/>
        <v/>
      </c>
      <c r="O59" s="6" t="str">
        <f t="shared" si="7"/>
        <v/>
      </c>
      <c r="P59" s="6" t="str">
        <f t="shared" si="8"/>
        <v/>
      </c>
    </row>
    <row r="60" spans="1:16">
      <c r="A60" s="5" t="str">
        <f>IF(M60="","",IFERROR(INDEX(Overview!$B$3:$B$62,MATCH(M60,Overview!$U$3:$U$62,0)),""))</f>
        <v/>
      </c>
      <c r="B60" s="4"/>
      <c r="C60" s="113" t="str">
        <f>IF(M60="","",COUNTIF($M$3:M60,M60))</f>
        <v/>
      </c>
      <c r="D60" s="113" t="str">
        <f t="shared" si="5"/>
        <v/>
      </c>
      <c r="E60" s="113"/>
      <c r="F60" s="113"/>
      <c r="G60" s="113"/>
      <c r="H60" s="113" t="str">
        <f>IF(OR(M60="",E60=""),"",IF(COUNTIF($O$3:$O$92,O60)&gt;1,COUNTIF($O$3:O60,O60),""))</f>
        <v/>
      </c>
      <c r="M60" s="6" t="str">
        <f t="shared" si="9"/>
        <v/>
      </c>
      <c r="N60" s="6" t="str">
        <f t="shared" si="6"/>
        <v/>
      </c>
      <c r="O60" s="6" t="str">
        <f t="shared" si="7"/>
        <v/>
      </c>
      <c r="P60" s="6" t="str">
        <f t="shared" si="8"/>
        <v/>
      </c>
    </row>
    <row r="61" spans="1:16">
      <c r="A61" s="5" t="str">
        <f>IF(M61="","",IFERROR(INDEX(Overview!$B$3:$B$62,MATCH(M61,Overview!$U$3:$U$62,0)),""))</f>
        <v/>
      </c>
      <c r="B61" s="4"/>
      <c r="C61" s="113" t="str">
        <f>IF(M61="","",COUNTIF($M$3:M61,M61))</f>
        <v/>
      </c>
      <c r="D61" s="113" t="str">
        <f t="shared" si="5"/>
        <v/>
      </c>
      <c r="E61" s="113"/>
      <c r="F61" s="113"/>
      <c r="G61" s="113"/>
      <c r="H61" s="113" t="str">
        <f>IF(OR(M61="",E61=""),"",IF(COUNTIF($O$3:$O$92,O61)&gt;1,COUNTIF($O$3:O61,O61),""))</f>
        <v/>
      </c>
      <c r="M61" s="6" t="str">
        <f t="shared" si="9"/>
        <v/>
      </c>
      <c r="N61" s="6" t="str">
        <f t="shared" si="6"/>
        <v/>
      </c>
      <c r="O61" s="6" t="str">
        <f t="shared" si="7"/>
        <v/>
      </c>
      <c r="P61" s="6" t="str">
        <f t="shared" si="8"/>
        <v/>
      </c>
    </row>
    <row r="62" spans="1:16">
      <c r="A62" s="5" t="str">
        <f>IF(M62="","",IFERROR(INDEX(Overview!$B$3:$B$62,MATCH(M62,Overview!$U$3:$U$62,0)),""))</f>
        <v/>
      </c>
      <c r="B62" s="4"/>
      <c r="C62" s="113" t="str">
        <f>IF(M62="","",COUNTIF($M$3:M62,M62))</f>
        <v/>
      </c>
      <c r="D62" s="113" t="str">
        <f t="shared" si="5"/>
        <v/>
      </c>
      <c r="E62" s="113"/>
      <c r="F62" s="113"/>
      <c r="G62" s="113"/>
      <c r="H62" s="113" t="str">
        <f>IF(OR(M62="",E62=""),"",IF(COUNTIF($O$3:$O$92,O62)&gt;1,COUNTIF($O$3:O62,O62),""))</f>
        <v/>
      </c>
      <c r="M62" s="6" t="str">
        <f t="shared" si="9"/>
        <v/>
      </c>
      <c r="N62" s="6" t="str">
        <f t="shared" si="6"/>
        <v/>
      </c>
      <c r="O62" s="6" t="str">
        <f t="shared" si="7"/>
        <v/>
      </c>
      <c r="P62" s="6" t="str">
        <f t="shared" si="8"/>
        <v/>
      </c>
    </row>
    <row r="63" spans="1:16">
      <c r="A63" s="5" t="str">
        <f>IF(M63="","",IFERROR(INDEX(Overview!$B$3:$B$62,MATCH(M63,Overview!$U$3:$U$62,0)),""))</f>
        <v/>
      </c>
      <c r="B63" s="4"/>
      <c r="C63" s="113" t="str">
        <f>IF(M63="","",COUNTIF($M$3:M63,M63))</f>
        <v/>
      </c>
      <c r="D63" s="113" t="str">
        <f t="shared" si="5"/>
        <v/>
      </c>
      <c r="E63" s="113"/>
      <c r="F63" s="113"/>
      <c r="G63" s="113"/>
      <c r="H63" s="113" t="str">
        <f>IF(OR(M63="",E63=""),"",IF(COUNTIF($O$3:$O$92,O63)&gt;1,COUNTIF($O$3:O63,O63),""))</f>
        <v/>
      </c>
      <c r="M63" s="6" t="str">
        <f t="shared" si="9"/>
        <v/>
      </c>
      <c r="N63" s="6" t="str">
        <f t="shared" si="6"/>
        <v/>
      </c>
      <c r="O63" s="6" t="str">
        <f t="shared" si="7"/>
        <v/>
      </c>
      <c r="P63" s="6" t="str">
        <f t="shared" si="8"/>
        <v/>
      </c>
    </row>
    <row r="64" spans="1:16">
      <c r="A64" s="5" t="str">
        <f>IF(M64="","",IFERROR(INDEX(Overview!$B$3:$B$62,MATCH(M64,Overview!$U$3:$U$62,0)),""))</f>
        <v/>
      </c>
      <c r="B64" s="4"/>
      <c r="C64" s="113" t="str">
        <f>IF(M64="","",COUNTIF($M$3:M64,M64))</f>
        <v/>
      </c>
      <c r="D64" s="113" t="str">
        <f t="shared" si="5"/>
        <v/>
      </c>
      <c r="E64" s="113"/>
      <c r="F64" s="113"/>
      <c r="G64" s="113"/>
      <c r="H64" s="113" t="str">
        <f>IF(OR(M64="",E64=""),"",IF(COUNTIF($O$3:$O$92,O64)&gt;1,COUNTIF($O$3:O64,O64),""))</f>
        <v/>
      </c>
      <c r="M64" s="6" t="str">
        <f t="shared" si="9"/>
        <v/>
      </c>
      <c r="N64" s="6" t="str">
        <f t="shared" si="6"/>
        <v/>
      </c>
      <c r="O64" s="6" t="str">
        <f t="shared" si="7"/>
        <v/>
      </c>
      <c r="P64" s="6" t="str">
        <f t="shared" si="8"/>
        <v/>
      </c>
    </row>
    <row r="65" spans="1:16">
      <c r="A65" s="5" t="str">
        <f>IF(M65="","",IFERROR(INDEX(Overview!$B$3:$B$62,MATCH(M65,Overview!$U$3:$U$62,0)),""))</f>
        <v/>
      </c>
      <c r="B65" s="4"/>
      <c r="C65" s="113" t="str">
        <f>IF(M65="","",COUNTIF($M$3:M65,M65))</f>
        <v/>
      </c>
      <c r="D65" s="113" t="str">
        <f t="shared" si="5"/>
        <v/>
      </c>
      <c r="E65" s="113"/>
      <c r="F65" s="113"/>
      <c r="G65" s="113"/>
      <c r="H65" s="113" t="str">
        <f>IF(OR(M65="",E65=""),"",IF(COUNTIF($O$3:$O$92,O65)&gt;1,COUNTIF($O$3:O65,O65),""))</f>
        <v/>
      </c>
      <c r="M65" s="6" t="str">
        <f t="shared" si="9"/>
        <v/>
      </c>
      <c r="N65" s="6" t="str">
        <f t="shared" si="6"/>
        <v/>
      </c>
      <c r="O65" s="6" t="str">
        <f t="shared" si="7"/>
        <v/>
      </c>
      <c r="P65" s="6" t="str">
        <f t="shared" si="8"/>
        <v/>
      </c>
    </row>
    <row r="66" spans="1:16">
      <c r="A66" s="5" t="str">
        <f>IF(M66="","",IFERROR(INDEX(Overview!$B$3:$B$62,MATCH(M66,Overview!$U$3:$U$62,0)),""))</f>
        <v/>
      </c>
      <c r="B66" s="4"/>
      <c r="C66" s="113" t="str">
        <f>IF(M66="","",COUNTIF($M$3:M66,M66))</f>
        <v/>
      </c>
      <c r="D66" s="113" t="str">
        <f t="shared" si="5"/>
        <v/>
      </c>
      <c r="E66" s="113"/>
      <c r="F66" s="113"/>
      <c r="G66" s="113"/>
      <c r="H66" s="113" t="str">
        <f>IF(OR(M66="",E66=""),"",IF(COUNTIF($O$3:$O$92,O66)&gt;1,COUNTIF($O$3:O66,O66),""))</f>
        <v/>
      </c>
      <c r="M66" s="6" t="str">
        <f t="shared" si="9"/>
        <v/>
      </c>
      <c r="N66" s="6" t="str">
        <f t="shared" si="6"/>
        <v/>
      </c>
      <c r="O66" s="6" t="str">
        <f t="shared" si="7"/>
        <v/>
      </c>
      <c r="P66" s="6" t="str">
        <f t="shared" si="8"/>
        <v/>
      </c>
    </row>
    <row r="67" spans="1:16">
      <c r="A67" s="5" t="str">
        <f>IF(M67="","",IFERROR(INDEX(Overview!$B$3:$B$62,MATCH(M67,Overview!$U$3:$U$62,0)),""))</f>
        <v/>
      </c>
      <c r="B67" s="4"/>
      <c r="C67" s="113" t="str">
        <f>IF(M67="","",COUNTIF($M$3:M67,M67))</f>
        <v/>
      </c>
      <c r="D67" s="113" t="str">
        <f t="shared" ref="D67:D92" si="10">IF(M67="","",IF(AND(F67="",G67=""),"",IF(F67&lt;&gt;"",F67,"")&amp;IF(AND(F67&lt;&gt;"",G67&lt;&gt;"")," + ","")&amp;IF(G67&lt;&gt;"",G67,"")&amp;IF(H67&lt;&gt;"",", "&amp;H67,"")))</f>
        <v/>
      </c>
      <c r="E67" s="113"/>
      <c r="F67" s="113"/>
      <c r="G67" s="113"/>
      <c r="H67" s="113" t="str">
        <f>IF(OR(M67="",E67=""),"",IF(COUNTIF($O$3:$O$92,O67)&gt;1,COUNTIF($O$3:O67,O67),""))</f>
        <v/>
      </c>
      <c r="M67" s="6" t="str">
        <f t="shared" si="9"/>
        <v/>
      </c>
      <c r="N67" s="6" t="str">
        <f t="shared" ref="N67:N92" si="11">IF(M67="","",IF(G67="","[control]",G67))</f>
        <v/>
      </c>
      <c r="O67" s="6" t="str">
        <f t="shared" ref="O67:O92" si="12">IF(M67="","",M67&amp;"|"&amp;E67&amp;"|"&amp;IF(F67="","[blank]",F67)&amp;"|"&amp;N67)</f>
        <v/>
      </c>
      <c r="P67" s="6" t="str">
        <f t="shared" ref="P67:P92" si="13">IF(M67="","",IF(E67="","Missing Set",IF(AND(B67&lt;&gt;"",COUNTIF($B$3:$B$92,B67)&gt;1),"Duplicate Arrangement start",IF(D67="","Blank description","OK"))))</f>
        <v/>
      </c>
    </row>
    <row r="68" spans="1:16">
      <c r="A68" s="5" t="str">
        <f>IF(M68="","",IFERROR(INDEX(Overview!$B$3:$B$62,MATCH(M68,Overview!$U$3:$U$62,0)),""))</f>
        <v/>
      </c>
      <c r="B68" s="4"/>
      <c r="C68" s="113" t="str">
        <f>IF(M68="","",COUNTIF($M$3:M68,M68))</f>
        <v/>
      </c>
      <c r="D68" s="113" t="str">
        <f t="shared" si="10"/>
        <v/>
      </c>
      <c r="E68" s="113"/>
      <c r="F68" s="113"/>
      <c r="G68" s="113"/>
      <c r="H68" s="113" t="str">
        <f>IF(OR(M68="",E68=""),"",IF(COUNTIF($O$3:$O$92,O68)&gt;1,COUNTIF($O$3:O68,O68),""))</f>
        <v/>
      </c>
      <c r="M68" s="6" t="str">
        <f t="shared" ref="M68:M92" si="14">IF(COUNTA(E68:G68)=0,"",IF(B68&lt;&gt;"",B68,M67))</f>
        <v/>
      </c>
      <c r="N68" s="6" t="str">
        <f t="shared" si="11"/>
        <v/>
      </c>
      <c r="O68" s="6" t="str">
        <f t="shared" si="12"/>
        <v/>
      </c>
      <c r="P68" s="6" t="str">
        <f t="shared" si="13"/>
        <v/>
      </c>
    </row>
    <row r="69" spans="1:16">
      <c r="A69" s="5" t="str">
        <f>IF(M69="","",IFERROR(INDEX(Overview!$B$3:$B$62,MATCH(M69,Overview!$U$3:$U$62,0)),""))</f>
        <v/>
      </c>
      <c r="B69" s="4"/>
      <c r="C69" s="113" t="str">
        <f>IF(M69="","",COUNTIF($M$3:M69,M69))</f>
        <v/>
      </c>
      <c r="D69" s="113" t="str">
        <f t="shared" si="10"/>
        <v/>
      </c>
      <c r="E69" s="113"/>
      <c r="F69" s="113"/>
      <c r="G69" s="113"/>
      <c r="H69" s="113" t="str">
        <f>IF(OR(M69="",E69=""),"",IF(COUNTIF($O$3:$O$92,O69)&gt;1,COUNTIF($O$3:O69,O69),""))</f>
        <v/>
      </c>
      <c r="M69" s="6" t="str">
        <f t="shared" si="14"/>
        <v/>
      </c>
      <c r="N69" s="6" t="str">
        <f t="shared" si="11"/>
        <v/>
      </c>
      <c r="O69" s="6" t="str">
        <f t="shared" si="12"/>
        <v/>
      </c>
      <c r="P69" s="6" t="str">
        <f t="shared" si="13"/>
        <v/>
      </c>
    </row>
    <row r="70" spans="1:16">
      <c r="A70" s="5" t="str">
        <f>IF(M70="","",IFERROR(INDEX(Overview!$B$3:$B$62,MATCH(M70,Overview!$U$3:$U$62,0)),""))</f>
        <v/>
      </c>
      <c r="B70" s="4"/>
      <c r="C70" s="113" t="str">
        <f>IF(M70="","",COUNTIF($M$3:M70,M70))</f>
        <v/>
      </c>
      <c r="D70" s="113" t="str">
        <f t="shared" si="10"/>
        <v/>
      </c>
      <c r="E70" s="113"/>
      <c r="F70" s="113"/>
      <c r="G70" s="113"/>
      <c r="H70" s="113" t="str">
        <f>IF(OR(M70="",E70=""),"",IF(COUNTIF($O$3:$O$92,O70)&gt;1,COUNTIF($O$3:O70,O70),""))</f>
        <v/>
      </c>
      <c r="M70" s="6" t="str">
        <f t="shared" si="14"/>
        <v/>
      </c>
      <c r="N70" s="6" t="str">
        <f t="shared" si="11"/>
        <v/>
      </c>
      <c r="O70" s="6" t="str">
        <f t="shared" si="12"/>
        <v/>
      </c>
      <c r="P70" s="6" t="str">
        <f t="shared" si="13"/>
        <v/>
      </c>
    </row>
    <row r="71" spans="1:16">
      <c r="A71" s="5" t="str">
        <f>IF(M71="","",IFERROR(INDEX(Overview!$B$3:$B$62,MATCH(M71,Overview!$U$3:$U$62,0)),""))</f>
        <v/>
      </c>
      <c r="B71" s="4"/>
      <c r="C71" s="113" t="str">
        <f>IF(M71="","",COUNTIF($M$3:M71,M71))</f>
        <v/>
      </c>
      <c r="D71" s="113" t="str">
        <f t="shared" si="10"/>
        <v/>
      </c>
      <c r="E71" s="113"/>
      <c r="F71" s="113"/>
      <c r="G71" s="113"/>
      <c r="H71" s="113" t="str">
        <f>IF(OR(M71="",E71=""),"",IF(COUNTIF($O$3:$O$92,O71)&gt;1,COUNTIF($O$3:O71,O71),""))</f>
        <v/>
      </c>
      <c r="M71" s="6" t="str">
        <f t="shared" si="14"/>
        <v/>
      </c>
      <c r="N71" s="6" t="str">
        <f t="shared" si="11"/>
        <v/>
      </c>
      <c r="O71" s="6" t="str">
        <f t="shared" si="12"/>
        <v/>
      </c>
      <c r="P71" s="6" t="str">
        <f t="shared" si="13"/>
        <v/>
      </c>
    </row>
    <row r="72" spans="1:16">
      <c r="A72" s="5" t="str">
        <f>IF(M72="","",IFERROR(INDEX(Overview!$B$3:$B$62,MATCH(M72,Overview!$U$3:$U$62,0)),""))</f>
        <v/>
      </c>
      <c r="B72" s="4"/>
      <c r="C72" s="113" t="str">
        <f>IF(M72="","",COUNTIF($M$3:M72,M72))</f>
        <v/>
      </c>
      <c r="D72" s="113" t="str">
        <f t="shared" si="10"/>
        <v/>
      </c>
      <c r="E72" s="113"/>
      <c r="F72" s="113"/>
      <c r="G72" s="113"/>
      <c r="H72" s="113" t="str">
        <f>IF(OR(M72="",E72=""),"",IF(COUNTIF($O$3:$O$92,O72)&gt;1,COUNTIF($O$3:O72,O72),""))</f>
        <v/>
      </c>
      <c r="M72" s="6" t="str">
        <f t="shared" si="14"/>
        <v/>
      </c>
      <c r="N72" s="6" t="str">
        <f t="shared" si="11"/>
        <v/>
      </c>
      <c r="O72" s="6" t="str">
        <f t="shared" si="12"/>
        <v/>
      </c>
      <c r="P72" s="6" t="str">
        <f t="shared" si="13"/>
        <v/>
      </c>
    </row>
    <row r="73" spans="1:16">
      <c r="A73" s="5" t="str">
        <f>IF(M73="","",IFERROR(INDEX(Overview!$B$3:$B$62,MATCH(M73,Overview!$U$3:$U$62,0)),""))</f>
        <v/>
      </c>
      <c r="B73" s="4"/>
      <c r="C73" s="113" t="str">
        <f>IF(M73="","",COUNTIF($M$3:M73,M73))</f>
        <v/>
      </c>
      <c r="D73" s="113" t="str">
        <f t="shared" si="10"/>
        <v/>
      </c>
      <c r="E73" s="113"/>
      <c r="F73" s="113"/>
      <c r="G73" s="113"/>
      <c r="H73" s="113" t="str">
        <f>IF(OR(M73="",E73=""),"",IF(COUNTIF($O$3:$O$92,O73)&gt;1,COUNTIF($O$3:O73,O73),""))</f>
        <v/>
      </c>
      <c r="M73" s="6" t="str">
        <f t="shared" si="14"/>
        <v/>
      </c>
      <c r="N73" s="6" t="str">
        <f t="shared" si="11"/>
        <v/>
      </c>
      <c r="O73" s="6" t="str">
        <f t="shared" si="12"/>
        <v/>
      </c>
      <c r="P73" s="6" t="str">
        <f t="shared" si="13"/>
        <v/>
      </c>
    </row>
    <row r="74" spans="1:16">
      <c r="A74" s="5" t="str">
        <f>IF(M74="","",IFERROR(INDEX(Overview!$B$3:$B$62,MATCH(M74,Overview!$U$3:$U$62,0)),""))</f>
        <v/>
      </c>
      <c r="B74" s="4"/>
      <c r="C74" s="113" t="str">
        <f>IF(M74="","",COUNTIF($M$3:M74,M74))</f>
        <v/>
      </c>
      <c r="D74" s="113" t="str">
        <f t="shared" si="10"/>
        <v/>
      </c>
      <c r="E74" s="113"/>
      <c r="F74" s="113"/>
      <c r="G74" s="113"/>
      <c r="H74" s="113" t="str">
        <f>IF(OR(M74="",E74=""),"",IF(COUNTIF($O$3:$O$92,O74)&gt;1,COUNTIF($O$3:O74,O74),""))</f>
        <v/>
      </c>
      <c r="M74" s="6" t="str">
        <f t="shared" si="14"/>
        <v/>
      </c>
      <c r="N74" s="6" t="str">
        <f t="shared" si="11"/>
        <v/>
      </c>
      <c r="O74" s="6" t="str">
        <f t="shared" si="12"/>
        <v/>
      </c>
      <c r="P74" s="6" t="str">
        <f t="shared" si="13"/>
        <v/>
      </c>
    </row>
    <row r="75" spans="1:16">
      <c r="A75" s="5" t="str">
        <f>IF(M75="","",IFERROR(INDEX(Overview!$B$3:$B$62,MATCH(M75,Overview!$U$3:$U$62,0)),""))</f>
        <v/>
      </c>
      <c r="B75" s="4"/>
      <c r="C75" s="113" t="str">
        <f>IF(M75="","",COUNTIF($M$3:M75,M75))</f>
        <v/>
      </c>
      <c r="D75" s="113" t="str">
        <f t="shared" si="10"/>
        <v/>
      </c>
      <c r="E75" s="113"/>
      <c r="F75" s="113"/>
      <c r="G75" s="113"/>
      <c r="H75" s="113" t="str">
        <f>IF(OR(M75="",E75=""),"",IF(COUNTIF($O$3:$O$92,O75)&gt;1,COUNTIF($O$3:O75,O75),""))</f>
        <v/>
      </c>
      <c r="M75" s="6" t="str">
        <f t="shared" si="14"/>
        <v/>
      </c>
      <c r="N75" s="6" t="str">
        <f t="shared" si="11"/>
        <v/>
      </c>
      <c r="O75" s="6" t="str">
        <f t="shared" si="12"/>
        <v/>
      </c>
      <c r="P75" s="6" t="str">
        <f t="shared" si="13"/>
        <v/>
      </c>
    </row>
    <row r="76" spans="1:16">
      <c r="A76" s="5" t="str">
        <f>IF(M76="","",IFERROR(INDEX(Overview!$B$3:$B$62,MATCH(M76,Overview!$U$3:$U$62,0)),""))</f>
        <v/>
      </c>
      <c r="B76" s="4"/>
      <c r="C76" s="113" t="str">
        <f>IF(M76="","",COUNTIF($M$3:M76,M76))</f>
        <v/>
      </c>
      <c r="D76" s="113" t="str">
        <f t="shared" si="10"/>
        <v/>
      </c>
      <c r="E76" s="113"/>
      <c r="F76" s="113"/>
      <c r="G76" s="113"/>
      <c r="H76" s="113" t="str">
        <f>IF(OR(M76="",E76=""),"",IF(COUNTIF($O$3:$O$92,O76)&gt;1,COUNTIF($O$3:O76,O76),""))</f>
        <v/>
      </c>
      <c r="M76" s="6" t="str">
        <f t="shared" si="14"/>
        <v/>
      </c>
      <c r="N76" s="6" t="str">
        <f t="shared" si="11"/>
        <v/>
      </c>
      <c r="O76" s="6" t="str">
        <f t="shared" si="12"/>
        <v/>
      </c>
      <c r="P76" s="6" t="str">
        <f t="shared" si="13"/>
        <v/>
      </c>
    </row>
    <row r="77" spans="1:16">
      <c r="A77" s="5" t="str">
        <f>IF(M77="","",IFERROR(INDEX(Overview!$B$3:$B$62,MATCH(M77,Overview!$U$3:$U$62,0)),""))</f>
        <v/>
      </c>
      <c r="B77" s="4"/>
      <c r="C77" s="113" t="str">
        <f>IF(M77="","",COUNTIF($M$3:M77,M77))</f>
        <v/>
      </c>
      <c r="D77" s="113" t="str">
        <f t="shared" si="10"/>
        <v/>
      </c>
      <c r="E77" s="113"/>
      <c r="F77" s="113"/>
      <c r="G77" s="113"/>
      <c r="H77" s="113" t="str">
        <f>IF(OR(M77="",E77=""),"",IF(COUNTIF($O$3:$O$92,O77)&gt;1,COUNTIF($O$3:O77,O77),""))</f>
        <v/>
      </c>
      <c r="M77" s="6" t="str">
        <f t="shared" si="14"/>
        <v/>
      </c>
      <c r="N77" s="6" t="str">
        <f t="shared" si="11"/>
        <v/>
      </c>
      <c r="O77" s="6" t="str">
        <f t="shared" si="12"/>
        <v/>
      </c>
      <c r="P77" s="6" t="str">
        <f t="shared" si="13"/>
        <v/>
      </c>
    </row>
    <row r="78" spans="1:16">
      <c r="A78" s="5" t="str">
        <f>IF(M78="","",IFERROR(INDEX(Overview!$B$3:$B$62,MATCH(M78,Overview!$U$3:$U$62,0)),""))</f>
        <v/>
      </c>
      <c r="B78" s="4"/>
      <c r="C78" s="113" t="str">
        <f>IF(M78="","",COUNTIF($M$3:M78,M78))</f>
        <v/>
      </c>
      <c r="D78" s="113" t="str">
        <f t="shared" si="10"/>
        <v/>
      </c>
      <c r="E78" s="113"/>
      <c r="F78" s="113"/>
      <c r="G78" s="113"/>
      <c r="H78" s="113" t="str">
        <f>IF(OR(M78="",E78=""),"",IF(COUNTIF($O$3:$O$92,O78)&gt;1,COUNTIF($O$3:O78,O78),""))</f>
        <v/>
      </c>
      <c r="M78" s="6" t="str">
        <f t="shared" si="14"/>
        <v/>
      </c>
      <c r="N78" s="6" t="str">
        <f t="shared" si="11"/>
        <v/>
      </c>
      <c r="O78" s="6" t="str">
        <f t="shared" si="12"/>
        <v/>
      </c>
      <c r="P78" s="6" t="str">
        <f t="shared" si="13"/>
        <v/>
      </c>
    </row>
    <row r="79" spans="1:16">
      <c r="A79" s="5" t="str">
        <f>IF(M79="","",IFERROR(INDEX(Overview!$B$3:$B$62,MATCH(M79,Overview!$U$3:$U$62,0)),""))</f>
        <v/>
      </c>
      <c r="B79" s="4"/>
      <c r="C79" s="113" t="str">
        <f>IF(M79="","",COUNTIF($M$3:M79,M79))</f>
        <v/>
      </c>
      <c r="D79" s="113" t="str">
        <f t="shared" si="10"/>
        <v/>
      </c>
      <c r="E79" s="113"/>
      <c r="F79" s="113"/>
      <c r="G79" s="113"/>
      <c r="H79" s="113" t="str">
        <f>IF(OR(M79="",E79=""),"",IF(COUNTIF($O$3:$O$92,O79)&gt;1,COUNTIF($O$3:O79,O79),""))</f>
        <v/>
      </c>
      <c r="M79" s="6" t="str">
        <f t="shared" si="14"/>
        <v/>
      </c>
      <c r="N79" s="6" t="str">
        <f t="shared" si="11"/>
        <v/>
      </c>
      <c r="O79" s="6" t="str">
        <f t="shared" si="12"/>
        <v/>
      </c>
      <c r="P79" s="6" t="str">
        <f t="shared" si="13"/>
        <v/>
      </c>
    </row>
    <row r="80" spans="1:16">
      <c r="A80" s="5" t="str">
        <f>IF(M80="","",IFERROR(INDEX(Overview!$B$3:$B$62,MATCH(M80,Overview!$U$3:$U$62,0)),""))</f>
        <v/>
      </c>
      <c r="B80" s="4"/>
      <c r="C80" s="113" t="str">
        <f>IF(M80="","",COUNTIF($M$3:M80,M80))</f>
        <v/>
      </c>
      <c r="D80" s="113" t="str">
        <f t="shared" si="10"/>
        <v/>
      </c>
      <c r="E80" s="113"/>
      <c r="F80" s="113"/>
      <c r="G80" s="113"/>
      <c r="H80" s="113" t="str">
        <f>IF(OR(M80="",E80=""),"",IF(COUNTIF($O$3:$O$92,O80)&gt;1,COUNTIF($O$3:O80,O80),""))</f>
        <v/>
      </c>
      <c r="M80" s="6" t="str">
        <f t="shared" si="14"/>
        <v/>
      </c>
      <c r="N80" s="6" t="str">
        <f t="shared" si="11"/>
        <v/>
      </c>
      <c r="O80" s="6" t="str">
        <f t="shared" si="12"/>
        <v/>
      </c>
      <c r="P80" s="6" t="str">
        <f t="shared" si="13"/>
        <v/>
      </c>
    </row>
    <row r="81" spans="1:16">
      <c r="A81" s="5" t="str">
        <f>IF(M81="","",IFERROR(INDEX(Overview!$B$3:$B$62,MATCH(M81,Overview!$U$3:$U$62,0)),""))</f>
        <v/>
      </c>
      <c r="B81" s="4"/>
      <c r="C81" s="113" t="str">
        <f>IF(M81="","",COUNTIF($M$3:M81,M81))</f>
        <v/>
      </c>
      <c r="D81" s="113" t="str">
        <f t="shared" si="10"/>
        <v/>
      </c>
      <c r="E81" s="113"/>
      <c r="F81" s="113"/>
      <c r="G81" s="113"/>
      <c r="H81" s="113" t="str">
        <f>IF(OR(M81="",E81=""),"",IF(COUNTIF($O$3:$O$92,O81)&gt;1,COUNTIF($O$3:O81,O81),""))</f>
        <v/>
      </c>
      <c r="M81" s="6" t="str">
        <f t="shared" si="14"/>
        <v/>
      </c>
      <c r="N81" s="6" t="str">
        <f t="shared" si="11"/>
        <v/>
      </c>
      <c r="O81" s="6" t="str">
        <f t="shared" si="12"/>
        <v/>
      </c>
      <c r="P81" s="6" t="str">
        <f t="shared" si="13"/>
        <v/>
      </c>
    </row>
    <row r="82" spans="1:16">
      <c r="A82" s="5" t="str">
        <f>IF(M82="","",IFERROR(INDEX(Overview!$B$3:$B$62,MATCH(M82,Overview!$U$3:$U$62,0)),""))</f>
        <v/>
      </c>
      <c r="B82" s="4"/>
      <c r="C82" s="113" t="str">
        <f>IF(M82="","",COUNTIF($M$3:M82,M82))</f>
        <v/>
      </c>
      <c r="D82" s="113" t="str">
        <f t="shared" si="10"/>
        <v/>
      </c>
      <c r="E82" s="113"/>
      <c r="F82" s="113"/>
      <c r="G82" s="113"/>
      <c r="H82" s="113" t="str">
        <f>IF(OR(M82="",E82=""),"",IF(COUNTIF($O$3:$O$92,O82)&gt;1,COUNTIF($O$3:O82,O82),""))</f>
        <v/>
      </c>
      <c r="M82" s="6" t="str">
        <f t="shared" si="14"/>
        <v/>
      </c>
      <c r="N82" s="6" t="str">
        <f t="shared" si="11"/>
        <v/>
      </c>
      <c r="O82" s="6" t="str">
        <f t="shared" si="12"/>
        <v/>
      </c>
      <c r="P82" s="6" t="str">
        <f t="shared" si="13"/>
        <v/>
      </c>
    </row>
    <row r="83" spans="1:16">
      <c r="A83" s="5" t="str">
        <f>IF(M83="","",IFERROR(INDEX(Overview!$B$3:$B$62,MATCH(M83,Overview!$U$3:$U$62,0)),""))</f>
        <v/>
      </c>
      <c r="B83" s="4"/>
      <c r="C83" s="113" t="str">
        <f>IF(M83="","",COUNTIF($M$3:M83,M83))</f>
        <v/>
      </c>
      <c r="D83" s="113" t="str">
        <f t="shared" si="10"/>
        <v/>
      </c>
      <c r="E83" s="113"/>
      <c r="F83" s="113"/>
      <c r="G83" s="113"/>
      <c r="H83" s="113" t="str">
        <f>IF(OR(M83="",E83=""),"",IF(COUNTIF($O$3:$O$92,O83)&gt;1,COUNTIF($O$3:O83,O83),""))</f>
        <v/>
      </c>
      <c r="M83" s="6" t="str">
        <f t="shared" si="14"/>
        <v/>
      </c>
      <c r="N83" s="6" t="str">
        <f t="shared" si="11"/>
        <v/>
      </c>
      <c r="O83" s="6" t="str">
        <f t="shared" si="12"/>
        <v/>
      </c>
      <c r="P83" s="6" t="str">
        <f t="shared" si="13"/>
        <v/>
      </c>
    </row>
    <row r="84" spans="1:16">
      <c r="A84" s="5" t="str">
        <f>IF(M84="","",IFERROR(INDEX(Overview!$B$3:$B$62,MATCH(M84,Overview!$U$3:$U$62,0)),""))</f>
        <v/>
      </c>
      <c r="B84" s="4"/>
      <c r="C84" s="113" t="str">
        <f>IF(M84="","",COUNTIF($M$3:M84,M84))</f>
        <v/>
      </c>
      <c r="D84" s="113" t="str">
        <f t="shared" si="10"/>
        <v/>
      </c>
      <c r="E84" s="113"/>
      <c r="F84" s="113"/>
      <c r="G84" s="113"/>
      <c r="H84" s="113" t="str">
        <f>IF(OR(M84="",E84=""),"",IF(COUNTIF($O$3:$O$92,O84)&gt;1,COUNTIF($O$3:O84,O84),""))</f>
        <v/>
      </c>
      <c r="M84" s="6" t="str">
        <f t="shared" si="14"/>
        <v/>
      </c>
      <c r="N84" s="6" t="str">
        <f t="shared" si="11"/>
        <v/>
      </c>
      <c r="O84" s="6" t="str">
        <f t="shared" si="12"/>
        <v/>
      </c>
      <c r="P84" s="6" t="str">
        <f t="shared" si="13"/>
        <v/>
      </c>
    </row>
    <row r="85" spans="1:16">
      <c r="A85" s="5" t="str">
        <f>IF(M85="","",IFERROR(INDEX(Overview!$B$3:$B$62,MATCH(M85,Overview!$U$3:$U$62,0)),""))</f>
        <v/>
      </c>
      <c r="B85" s="4"/>
      <c r="C85" s="113" t="str">
        <f>IF(M85="","",COUNTIF($M$3:M85,M85))</f>
        <v/>
      </c>
      <c r="D85" s="113" t="str">
        <f t="shared" si="10"/>
        <v/>
      </c>
      <c r="E85" s="113"/>
      <c r="F85" s="113"/>
      <c r="G85" s="113"/>
      <c r="H85" s="113" t="str">
        <f>IF(OR(M85="",E85=""),"",IF(COUNTIF($O$3:$O$92,O85)&gt;1,COUNTIF($O$3:O85,O85),""))</f>
        <v/>
      </c>
      <c r="M85" s="6" t="str">
        <f t="shared" si="14"/>
        <v/>
      </c>
      <c r="N85" s="6" t="str">
        <f t="shared" si="11"/>
        <v/>
      </c>
      <c r="O85" s="6" t="str">
        <f t="shared" si="12"/>
        <v/>
      </c>
      <c r="P85" s="6" t="str">
        <f t="shared" si="13"/>
        <v/>
      </c>
    </row>
    <row r="86" spans="1:16">
      <c r="A86" s="5" t="str">
        <f>IF(M86="","",IFERROR(INDEX(Overview!$B$3:$B$62,MATCH(M86,Overview!$U$3:$U$62,0)),""))</f>
        <v/>
      </c>
      <c r="B86" s="4"/>
      <c r="C86" s="113" t="str">
        <f>IF(M86="","",COUNTIF($M$3:M86,M86))</f>
        <v/>
      </c>
      <c r="D86" s="113" t="str">
        <f t="shared" si="10"/>
        <v/>
      </c>
      <c r="E86" s="113"/>
      <c r="F86" s="113"/>
      <c r="G86" s="113"/>
      <c r="H86" s="113" t="str">
        <f>IF(OR(M86="",E86=""),"",IF(COUNTIF($O$3:$O$92,O86)&gt;1,COUNTIF($O$3:O86,O86),""))</f>
        <v/>
      </c>
      <c r="M86" s="6" t="str">
        <f t="shared" si="14"/>
        <v/>
      </c>
      <c r="N86" s="6" t="str">
        <f t="shared" si="11"/>
        <v/>
      </c>
      <c r="O86" s="6" t="str">
        <f t="shared" si="12"/>
        <v/>
      </c>
      <c r="P86" s="6" t="str">
        <f t="shared" si="13"/>
        <v/>
      </c>
    </row>
    <row r="87" spans="1:16">
      <c r="A87" s="5" t="str">
        <f>IF(M87="","",IFERROR(INDEX(Overview!$B$3:$B$62,MATCH(M87,Overview!$U$3:$U$62,0)),""))</f>
        <v/>
      </c>
      <c r="B87" s="4"/>
      <c r="C87" s="113" t="str">
        <f>IF(M87="","",COUNTIF($M$3:M87,M87))</f>
        <v/>
      </c>
      <c r="D87" s="113" t="str">
        <f t="shared" si="10"/>
        <v/>
      </c>
      <c r="E87" s="113"/>
      <c r="F87" s="113"/>
      <c r="G87" s="113"/>
      <c r="H87" s="113" t="str">
        <f>IF(OR(M87="",E87=""),"",IF(COUNTIF($O$3:$O$92,O87)&gt;1,COUNTIF($O$3:O87,O87),""))</f>
        <v/>
      </c>
      <c r="M87" s="6" t="str">
        <f t="shared" si="14"/>
        <v/>
      </c>
      <c r="N87" s="6" t="str">
        <f t="shared" si="11"/>
        <v/>
      </c>
      <c r="O87" s="6" t="str">
        <f t="shared" si="12"/>
        <v/>
      </c>
      <c r="P87" s="6" t="str">
        <f t="shared" si="13"/>
        <v/>
      </c>
    </row>
    <row r="88" spans="1:16">
      <c r="A88" s="5" t="str">
        <f>IF(M88="","",IFERROR(INDEX(Overview!$B$3:$B$62,MATCH(M88,Overview!$U$3:$U$62,0)),""))</f>
        <v/>
      </c>
      <c r="B88" s="4"/>
      <c r="C88" s="113" t="str">
        <f>IF(M88="","",COUNTIF($M$3:M88,M88))</f>
        <v/>
      </c>
      <c r="D88" s="113" t="str">
        <f t="shared" si="10"/>
        <v/>
      </c>
      <c r="E88" s="113"/>
      <c r="F88" s="113"/>
      <c r="G88" s="113"/>
      <c r="H88" s="113" t="str">
        <f>IF(OR(M88="",E88=""),"",IF(COUNTIF($O$3:$O$92,O88)&gt;1,COUNTIF($O$3:O88,O88),""))</f>
        <v/>
      </c>
      <c r="M88" s="6" t="str">
        <f t="shared" si="14"/>
        <v/>
      </c>
      <c r="N88" s="6" t="str">
        <f t="shared" si="11"/>
        <v/>
      </c>
      <c r="O88" s="6" t="str">
        <f t="shared" si="12"/>
        <v/>
      </c>
      <c r="P88" s="6" t="str">
        <f t="shared" si="13"/>
        <v/>
      </c>
    </row>
    <row r="89" spans="1:16">
      <c r="A89" s="5" t="str">
        <f>IF(M89="","",IFERROR(INDEX(Overview!$B$3:$B$62,MATCH(M89,Overview!$U$3:$U$62,0)),""))</f>
        <v/>
      </c>
      <c r="B89" s="4"/>
      <c r="C89" s="113" t="str">
        <f>IF(M89="","",COUNTIF($M$3:M89,M89))</f>
        <v/>
      </c>
      <c r="D89" s="113" t="str">
        <f t="shared" si="10"/>
        <v/>
      </c>
      <c r="E89" s="113"/>
      <c r="F89" s="113"/>
      <c r="G89" s="113"/>
      <c r="H89" s="113" t="str">
        <f>IF(OR(M89="",E89=""),"",IF(COUNTIF($O$3:$O$92,O89)&gt;1,COUNTIF($O$3:O89,O89),""))</f>
        <v/>
      </c>
      <c r="M89" s="6" t="str">
        <f t="shared" si="14"/>
        <v/>
      </c>
      <c r="N89" s="6" t="str">
        <f t="shared" si="11"/>
        <v/>
      </c>
      <c r="O89" s="6" t="str">
        <f t="shared" si="12"/>
        <v/>
      </c>
      <c r="P89" s="6" t="str">
        <f t="shared" si="13"/>
        <v/>
      </c>
    </row>
    <row r="90" spans="1:16">
      <c r="A90" s="5" t="str">
        <f>IF(M90="","",IFERROR(INDEX(Overview!$B$3:$B$62,MATCH(M90,Overview!$U$3:$U$62,0)),""))</f>
        <v/>
      </c>
      <c r="B90" s="4"/>
      <c r="C90" s="113" t="str">
        <f>IF(M90="","",COUNTIF($M$3:M90,M90))</f>
        <v/>
      </c>
      <c r="D90" s="113" t="str">
        <f t="shared" si="10"/>
        <v/>
      </c>
      <c r="E90" s="113"/>
      <c r="F90" s="113"/>
      <c r="G90" s="113"/>
      <c r="H90" s="113" t="str">
        <f>IF(OR(M90="",E90=""),"",IF(COUNTIF($O$3:$O$92,O90)&gt;1,COUNTIF($O$3:O90,O90),""))</f>
        <v/>
      </c>
      <c r="M90" s="6" t="str">
        <f t="shared" si="14"/>
        <v/>
      </c>
      <c r="N90" s="6" t="str">
        <f t="shared" si="11"/>
        <v/>
      </c>
      <c r="O90" s="6" t="str">
        <f t="shared" si="12"/>
        <v/>
      </c>
      <c r="P90" s="6" t="str">
        <f t="shared" si="13"/>
        <v/>
      </c>
    </row>
    <row r="91" spans="1:16">
      <c r="A91" s="5" t="str">
        <f>IF(M91="","",IFERROR(INDEX(Overview!$B$3:$B$62,MATCH(M91,Overview!$U$3:$U$62,0)),""))</f>
        <v/>
      </c>
      <c r="B91" s="4"/>
      <c r="C91" s="113" t="str">
        <f>IF(M91="","",COUNTIF($M$3:M91,M91))</f>
        <v/>
      </c>
      <c r="D91" s="113" t="str">
        <f t="shared" si="10"/>
        <v/>
      </c>
      <c r="E91" s="113"/>
      <c r="F91" s="113"/>
      <c r="G91" s="113"/>
      <c r="H91" s="113" t="str">
        <f>IF(OR(M91="",E91=""),"",IF(COUNTIF($O$3:$O$92,O91)&gt;1,COUNTIF($O$3:O91,O91),""))</f>
        <v/>
      </c>
      <c r="M91" s="6" t="str">
        <f t="shared" si="14"/>
        <v/>
      </c>
      <c r="N91" s="6" t="str">
        <f t="shared" si="11"/>
        <v/>
      </c>
      <c r="O91" s="6" t="str">
        <f t="shared" si="12"/>
        <v/>
      </c>
      <c r="P91" s="6" t="str">
        <f t="shared" si="13"/>
        <v/>
      </c>
    </row>
    <row r="92" spans="1:16">
      <c r="A92" s="5" t="str">
        <f>IF(M92="","",IFERROR(INDEX(Overview!$B$3:$B$62,MATCH(M92,Overview!$U$3:$U$62,0)),""))</f>
        <v/>
      </c>
      <c r="B92" s="4"/>
      <c r="C92" s="113" t="str">
        <f>IF(M92="","",COUNTIF($M$3:M92,M92))</f>
        <v/>
      </c>
      <c r="D92" s="113" t="str">
        <f t="shared" si="10"/>
        <v/>
      </c>
      <c r="E92" s="113"/>
      <c r="F92" s="113"/>
      <c r="G92" s="113"/>
      <c r="H92" s="113" t="str">
        <f>IF(OR(M92="",E92=""),"",IF(COUNTIF($O$3:$O$92,O92)&gt;1,COUNTIF($O$3:O92,O92),""))</f>
        <v/>
      </c>
      <c r="M92" s="6" t="str">
        <f t="shared" si="14"/>
        <v/>
      </c>
      <c r="N92" s="6" t="str">
        <f t="shared" si="11"/>
        <v/>
      </c>
      <c r="O92" s="6" t="str">
        <f t="shared" si="12"/>
        <v/>
      </c>
      <c r="P92" s="6" t="str">
        <f t="shared" si="13"/>
        <v/>
      </c>
    </row>
  </sheetData>
  <autoFilter ref="A2:H92" xr:uid="{00000000-0001-0000-0100-000000000000}"/>
  <mergeCells count="3">
    <mergeCell ref="A1:H1"/>
    <mergeCell ref="J1:K1"/>
    <mergeCell ref="M1:P1"/>
  </mergeCells>
  <conditionalFormatting sqref="P3:P92">
    <cfRule type="containsText" dxfId="5" priority="23" operator="containsText" text="OK"/>
    <cfRule type="expression" dxfId="4" priority="24">
      <formula>AND($P3&lt;&gt;"",$P3&lt;&gt;"OK")</formula>
    </cfRule>
  </conditionalFormatting>
  <conditionalFormatting sqref="A3:P92">
    <cfRule type="expression" dxfId="3" priority="26" stopIfTrue="1">
      <formula>AND($AZ$1=TRUE,CELL("row")=ROW())</formula>
    </cfRule>
    <cfRule type="expression" dxfId="2" priority="1" stopIfTrue="1">
      <formula>AND($AZ$1=TRUE,ROW()=CELL("row"),COLUMN()=CELL("col"))</formula>
    </cfRule>
  </conditionalFormatting>
  <dataValidations count="1">
    <dataValidation type="list" sqref="AZ1" xr:uid="{00000000-0002-0000-0100-000000000000}">
      <formula1>"true,false"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63" r:id="rId3" name="PWBTN_State">
              <controlPr defaultSize="0" print="0" autoFill="0" autoPict="0" macro="[0]!PWToggleLiveState">
                <anchor>
                  <from>
                    <xdr:col>9</xdr:col>
                    <xdr:colOff>38100</xdr:colOff>
                    <xdr:row>1</xdr:row>
                    <xdr:rowOff>38100</xdr:rowOff>
                  </from>
                  <to>
                    <xdr:col>11</xdr:col>
                    <xdr:colOff>152400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4" name="PWBTN_Sync">
              <controlPr defaultSize="0" print="0" autoFill="0" autoPict="0" macro="[0]!PWSyncNow">
                <anchor>
                  <from>
                    <xdr:col>9</xdr:col>
                    <xdr:colOff>38100</xdr:colOff>
                    <xdr:row>2</xdr:row>
                    <xdr:rowOff>76200</xdr:rowOff>
                  </from>
                  <to>
                    <xdr:col>11</xdr:col>
                    <xdr:colOff>152400</xdr:colOff>
                    <xdr:row>4</xdr:row>
                    <xdr:rowOff>14288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5" name="PWBTN_NewArrangement">
              <controlPr defaultSize="0" print="0" autoFill="0" autoPict="0" macro="[0]!PWNewArrangement">
                <anchor>
                  <from>
                    <xdr:col>9</xdr:col>
                    <xdr:colOff>38100</xdr:colOff>
                    <xdr:row>4</xdr:row>
                    <xdr:rowOff>52388</xdr:rowOff>
                  </from>
                  <to>
                    <xdr:col>11</xdr:col>
                    <xdr:colOff>152400</xdr:colOff>
                    <xdr:row>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6" name="PWBTN_Expand">
              <controlPr defaultSize="0" print="0" autoFill="0" autoPict="0" macro="[0]!PWExpandActiveSheet">
                <anchor>
                  <from>
                    <xdr:col>9</xdr:col>
                    <xdr:colOff>38100</xdr:colOff>
                    <xdr:row>6</xdr:row>
                    <xdr:rowOff>28575</xdr:rowOff>
                  </from>
                  <to>
                    <xdr:col>11</xdr:col>
                    <xdr:colOff>152400</xdr:colOff>
                    <xdr:row>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7" name="PWBTN_Highlight">
              <controlPr defaultSize="0" print="0" autoFill="0" autoPict="0" macro="[0]!PWToggleActiveHighlight">
                <anchor>
                  <from>
                    <xdr:col>9</xdr:col>
                    <xdr:colOff>38100</xdr:colOff>
                    <xdr:row>8</xdr:row>
                    <xdr:rowOff>0</xdr:rowOff>
                  </from>
                  <to>
                    <xdr:col>11</xdr:col>
                    <xdr:colOff>152400</xdr:colOff>
                    <xdr:row>9</xdr:row>
                    <xdr:rowOff>109538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8" name="PWBTN_Instructions">
              <controlPr defaultSize="0" print="0" autoFill="0" autoPict="0" macro="[0]!PWToggleInstructions">
                <anchor>
                  <from>
                    <xdr:col>9</xdr:col>
                    <xdr:colOff>38100</xdr:colOff>
                    <xdr:row>9</xdr:row>
                    <xdr:rowOff>147638</xdr:rowOff>
                  </from>
                  <to>
                    <xdr:col>11</xdr:col>
                    <xdr:colOff>152400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" name="PWBTN_Refresh">
              <controlPr defaultSize="0" print="0" autoFill="0" autoPict="0" macro="[0]!PWRefreshCurrentSheetVisuals">
                <anchor>
                  <from>
                    <xdr:col>9</xdr:col>
                    <xdr:colOff>38100</xdr:colOff>
                    <xdr:row>11</xdr:row>
                    <xdr:rowOff>123825</xdr:rowOff>
                  </from>
                  <to>
                    <xdr:col>11</xdr:col>
                    <xdr:colOff>152400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" name="PWBTN_Rebuild">
              <controlPr defaultSize="0" print="0" autoFill="0" autoPict="0" macro="[0]!PWSetupWorkflowUI">
                <anchor>
                  <from>
                    <xdr:col>9</xdr:col>
                    <xdr:colOff>38100</xdr:colOff>
                    <xdr:row>13</xdr:row>
                    <xdr:rowOff>95250</xdr:rowOff>
                  </from>
                  <to>
                    <xdr:col>11</xdr:col>
                    <xdr:colOff>152400</xdr:colOff>
                    <xdr:row>15</xdr:row>
                    <xdr:rowOff>33338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1" name="PWBTN_Legend">
              <controlPr defaultSize="0" print="0" autoFill="0" autoPict="0" macro="[0]!PWToggleLegend">
                <anchor>
                  <from>
                    <xdr:col>9</xdr:col>
                    <xdr:colOff>38100</xdr:colOff>
                    <xdr:row>15</xdr:row>
                    <xdr:rowOff>71438</xdr:rowOff>
                  </from>
                  <to>
                    <xdr:col>11</xdr:col>
                    <xdr:colOff>152400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47"/>
  <sheetViews>
    <sheetView showGridLines="0" tabSelected="1" workbookViewId="0">
      <selection activeCell="H15" sqref="H15"/>
    </sheetView>
  </sheetViews>
  <sheetFormatPr defaultRowHeight="13.5"/>
  <cols>
    <col min="1" max="1" width="11" customWidth="1"/>
    <col min="2" max="2" width="18" customWidth="1"/>
    <col min="3" max="3" width="10" customWidth="1"/>
    <col min="4" max="4" width="17" customWidth="1"/>
    <col min="5" max="5" width="8" customWidth="1"/>
    <col min="6" max="6" width="24" customWidth="1"/>
    <col min="7" max="7" width="3" customWidth="1"/>
    <col min="8" max="8" width="16" customWidth="1"/>
    <col min="9" max="9" width="8" customWidth="1"/>
    <col min="10" max="10" width="18" customWidth="1"/>
    <col min="11" max="11" width="7" customWidth="1"/>
    <col min="12" max="12" width="3" customWidth="1"/>
    <col min="13" max="13" width="16" customWidth="1"/>
    <col min="14" max="14" width="8" customWidth="1"/>
    <col min="15" max="15" width="18" customWidth="1"/>
    <col min="16" max="16" width="7" customWidth="1"/>
    <col min="17" max="17" width="3" customWidth="1"/>
    <col min="18" max="18" width="16" customWidth="1"/>
    <col min="19" max="19" width="8" customWidth="1"/>
    <col min="20" max="20" width="18" customWidth="1"/>
    <col min="21" max="21" width="7" customWidth="1"/>
    <col min="22" max="22" width="3" customWidth="1"/>
    <col min="23" max="23" width="13" customWidth="1"/>
    <col min="24" max="25" width="3" customWidth="1"/>
    <col min="26" max="26" width="16" customWidth="1"/>
    <col min="27" max="27" width="8" customWidth="1"/>
    <col min="28" max="28" width="30" customWidth="1"/>
    <col min="29" max="29" width="20" customWidth="1"/>
    <col min="30" max="30" width="3" customWidth="1"/>
    <col min="31" max="31" width="16" customWidth="1"/>
    <col min="32" max="32" width="8" customWidth="1"/>
    <col min="33" max="33" width="30" customWidth="1"/>
    <col min="34" max="34" width="20" customWidth="1"/>
    <col min="35" max="35" width="3" customWidth="1"/>
    <col min="36" max="36" width="16" customWidth="1"/>
    <col min="37" max="37" width="8" customWidth="1"/>
    <col min="38" max="38" width="30" customWidth="1"/>
    <col min="39" max="39" width="20" customWidth="1"/>
    <col min="51" max="51" width="15" customWidth="1"/>
    <col min="52" max="52" width="10" customWidth="1"/>
  </cols>
  <sheetData>
    <row r="1" spans="1:52" ht="22.05" customHeight="1">
      <c r="A1" s="122" t="s">
        <v>61</v>
      </c>
      <c r="B1" s="123"/>
      <c r="C1" s="123"/>
      <c r="D1" s="123"/>
      <c r="E1" s="123"/>
      <c r="F1" s="124"/>
      <c r="H1" s="122" t="s">
        <v>62</v>
      </c>
      <c r="I1" s="123"/>
      <c r="J1" s="123"/>
      <c r="K1" s="124"/>
      <c r="M1" s="122" t="s">
        <v>63</v>
      </c>
      <c r="N1" s="123"/>
      <c r="O1" s="123"/>
      <c r="P1" s="124"/>
      <c r="R1" s="122" t="s">
        <v>64</v>
      </c>
      <c r="S1" s="123"/>
      <c r="T1" s="123"/>
      <c r="U1" s="124"/>
      <c r="W1" s="125" t="s">
        <v>1</v>
      </c>
      <c r="X1" s="126"/>
      <c r="Z1" s="119" t="s">
        <v>65</v>
      </c>
      <c r="AA1" s="120"/>
      <c r="AB1" s="120"/>
      <c r="AC1" s="121"/>
      <c r="AE1" s="119" t="s">
        <v>66</v>
      </c>
      <c r="AF1" s="120"/>
      <c r="AG1" s="120"/>
      <c r="AH1" s="121"/>
      <c r="AJ1" s="119" t="s">
        <v>67</v>
      </c>
      <c r="AK1" s="120"/>
      <c r="AL1" s="120"/>
      <c r="AM1" s="121"/>
      <c r="AY1" s="1" t="s">
        <v>3</v>
      </c>
      <c r="AZ1" s="2" t="b">
        <v>1</v>
      </c>
    </row>
    <row r="2" spans="1:52" ht="22.05" customHeight="1" thickBot="1">
      <c r="A2" s="3" t="s">
        <v>5</v>
      </c>
      <c r="B2" s="3" t="s">
        <v>9</v>
      </c>
      <c r="C2" s="3" t="s">
        <v>68</v>
      </c>
      <c r="D2" s="3" t="s">
        <v>69</v>
      </c>
      <c r="E2" s="3" t="s">
        <v>70</v>
      </c>
      <c r="F2" s="3" t="s">
        <v>71</v>
      </c>
      <c r="H2" s="17" t="s">
        <v>72</v>
      </c>
      <c r="I2" s="17" t="s">
        <v>51</v>
      </c>
      <c r="J2" s="17" t="s">
        <v>73</v>
      </c>
      <c r="K2" s="17" t="s">
        <v>74</v>
      </c>
      <c r="M2" s="17" t="s">
        <v>75</v>
      </c>
      <c r="N2" s="17" t="s">
        <v>51</v>
      </c>
      <c r="O2" s="17" t="s">
        <v>76</v>
      </c>
      <c r="P2" s="17" t="s">
        <v>74</v>
      </c>
      <c r="R2" s="17" t="s">
        <v>77</v>
      </c>
      <c r="S2" s="17" t="s">
        <v>51</v>
      </c>
      <c r="T2" s="17" t="s">
        <v>78</v>
      </c>
      <c r="U2" s="17" t="s">
        <v>74</v>
      </c>
      <c r="W2" s="7" t="s">
        <v>18</v>
      </c>
      <c r="X2" s="8"/>
      <c r="Z2" s="3" t="s">
        <v>79</v>
      </c>
      <c r="AA2" s="3" t="s">
        <v>80</v>
      </c>
      <c r="AB2" s="3" t="s">
        <v>81</v>
      </c>
      <c r="AC2" s="3" t="s">
        <v>57</v>
      </c>
      <c r="AE2" s="3" t="s">
        <v>79</v>
      </c>
      <c r="AF2" s="3" t="s">
        <v>80</v>
      </c>
      <c r="AG2" s="3" t="s">
        <v>81</v>
      </c>
      <c r="AH2" s="3" t="s">
        <v>57</v>
      </c>
      <c r="AJ2" s="3" t="s">
        <v>79</v>
      </c>
      <c r="AK2" s="3" t="s">
        <v>80</v>
      </c>
      <c r="AL2" s="3" t="s">
        <v>81</v>
      </c>
      <c r="AM2" s="3" t="s">
        <v>57</v>
      </c>
      <c r="AY2" s="1" t="s">
        <v>27</v>
      </c>
      <c r="AZ2" s="2" t="b">
        <v>0</v>
      </c>
    </row>
    <row r="3" spans="1:52">
      <c r="A3" s="5" t="str">
        <f>IF(B3="","",IFERROR(INDEX(Overview!$B$3:$B$62,MATCH(B3,Overview!$V$3:$V$62,0)),""))</f>
        <v>14.08.26</v>
      </c>
      <c r="B3" s="43" t="s">
        <v>32</v>
      </c>
      <c r="C3" s="113" t="s">
        <v>82</v>
      </c>
      <c r="D3" s="24" t="s">
        <v>83</v>
      </c>
      <c r="E3" s="4">
        <v>1</v>
      </c>
      <c r="F3" s="5" t="str">
        <f t="shared" ref="F3:F46" si="0">IF(B3="","",IF(OR(C3="",D3="",E3=""),"Incomplete assignment",IF(NOT(OR(C3="strain",C3="vertical",C3="other")),"Invalid Type",IF(OR(NOT(ISNUMBER(E3)),E3&lt;1,INT(E3)&lt;&gt;E3),"Invalid Order",IF(IF(C3="strain",COUNTIF($Z$3:$Z$47,D3),IF(C3="vertical",COUNTIF($AE$3:$AE$47,D3),COUNTIF($AJ$3:$AJ$47,D3)))=0,"Unknown profile",IF(IF(C3="strain",COUNTIFS($Z$3:$Z$47,D3,$AC$3:$AC$47,"&lt;&gt;OK"),IF(C3="vertical",COUNTIFS($AE$3:$AE$47,D3,$AH$3:$AH$47,"&lt;&gt;OK"),COUNTIFS($AJ$3:$AJ$47,D3,$AM$3:$AM$47,"&lt;&gt;OK")))&gt;0,"Profile errors",IF(COUNTIFS($B$3:$B$46,B3,$C$3:$C$46,C3,$D$3:$D$46,D3)&gt;1,"Duplicate profile assignment",IF(COUNTIFS($B$3:$B$46,B3,$C$3:$C$46,C3,$E$3:$E$46,E3)&gt;1,"Duplicate Order","OK"))))))))</f>
        <v>OK</v>
      </c>
      <c r="H3" s="26" t="s">
        <v>83</v>
      </c>
      <c r="I3" s="46" t="s">
        <v>30</v>
      </c>
      <c r="J3" s="21" t="s">
        <v>84</v>
      </c>
      <c r="K3" s="46">
        <f>IF(OR(Z3="",AA3=""),"",COUNTIFS($Z$3:Z3,Z3,$AA$3:AA3,AA3))</f>
        <v>1</v>
      </c>
      <c r="M3" s="52" t="s">
        <v>85</v>
      </c>
      <c r="N3" s="56" t="s">
        <v>30</v>
      </c>
      <c r="O3" s="21">
        <v>0</v>
      </c>
      <c r="P3" s="56">
        <f>IF(OR(AE3="",AF3=""),"",COUNTIFS($AE$3:AE3,AE3,$AF$3:AF3,AF3))</f>
        <v>1</v>
      </c>
      <c r="R3" s="60" t="s">
        <v>86</v>
      </c>
      <c r="S3" s="63" t="s">
        <v>30</v>
      </c>
      <c r="T3" s="21" t="s">
        <v>87</v>
      </c>
      <c r="U3" s="63">
        <f>IF(OR(AJ3="",AK3=""),"",COUNTIFS($AJ$3:AJ3,AJ3,$AK$3:AK3,AK3))</f>
        <v>1</v>
      </c>
      <c r="W3" s="9" t="s">
        <v>40</v>
      </c>
      <c r="X3" s="10"/>
      <c r="Z3" s="6" t="str">
        <f>IF(J3="","",IF(H3&lt;&gt;"",H3,""))</f>
        <v>Strain 1</v>
      </c>
      <c r="AA3" s="6" t="str">
        <f>IF(J3="","",IF(I3&lt;&gt;"",I3,""))</f>
        <v>A</v>
      </c>
      <c r="AB3" s="6" t="str">
        <f t="shared" ref="AB3:AB47" si="1">IF(OR(Z3="",AA3=""),"",Z3&amp;"|"&amp;AA3&amp;"|"&amp;TEXT(K3,"000"))</f>
        <v>Strain 1|A|001</v>
      </c>
      <c r="AC3" s="6" t="str">
        <f t="shared" ref="AC3:AC47" si="2">IF(J3="","",IF(Z3="","Missing profile",IF(AA3="","Missing Set",IF(COUNTIF($AB$3:$AB$47,AB3)&gt;1,"Duplicate key","OK"))))</f>
        <v>OK</v>
      </c>
      <c r="AE3" s="6" t="str">
        <f>IF(O3="","",IF(M3&lt;&gt;"",M3,""))</f>
        <v>Vertical 1</v>
      </c>
      <c r="AF3" s="6" t="str">
        <f>IF(O3="","",IF(N3&lt;&gt;"",N3,""))</f>
        <v>A</v>
      </c>
      <c r="AG3" s="6" t="str">
        <f t="shared" ref="AG3:AG47" si="3">IF(OR(AE3="",AF3=""),"",AE3&amp;"|"&amp;AF3&amp;"|"&amp;TEXT(P3,"000"))</f>
        <v>Vertical 1|A|001</v>
      </c>
      <c r="AH3" s="6" t="str">
        <f t="shared" ref="AH3:AH47" si="4">IF(O3="","",IF(AE3="","Missing profile",IF(AF3="","Missing Set",IF(COUNTIF($AG$3:$AG$47,AG3)&gt;1,"Duplicate key","OK"))))</f>
        <v>OK</v>
      </c>
      <c r="AJ3" s="6" t="str">
        <f>IF(T3="","",IF(R3&lt;&gt;"",R3,""))</f>
        <v>Other 1</v>
      </c>
      <c r="AK3" s="6" t="str">
        <f>IF(T3="","",IF(S3&lt;&gt;"",S3,""))</f>
        <v>A</v>
      </c>
      <c r="AL3" s="6" t="str">
        <f t="shared" ref="AL3:AL47" si="5">IF(OR(AJ3="",AK3=""),"",AJ3&amp;"|"&amp;AK3&amp;"|"&amp;TEXT(U3,"000"))</f>
        <v>Other 1|A|001</v>
      </c>
      <c r="AM3" s="6" t="str">
        <f t="shared" ref="AM3:AM47" si="6">IF(T3="","",IF(AJ3="","Missing profile",IF(AK3="","Missing Set",IF(COUNTIF($AL$3:$AL$47,AL3)&gt;1,"Duplicate key","OK"))))</f>
        <v>OK</v>
      </c>
      <c r="AY3" s="15" t="s">
        <v>36</v>
      </c>
      <c r="AZ3" s="16" t="b">
        <v>0</v>
      </c>
    </row>
    <row r="4" spans="1:52">
      <c r="A4" s="5" t="str">
        <f>IF(B4="","",IFERROR(INDEX(Overview!$B$3:$B$62,MATCH(B4,Overview!$V$3:$V$62,0)),""))</f>
        <v>14.08.26</v>
      </c>
      <c r="B4" s="43" t="s">
        <v>32</v>
      </c>
      <c r="C4" s="113" t="s">
        <v>91</v>
      </c>
      <c r="D4" s="49" t="s">
        <v>85</v>
      </c>
      <c r="E4" s="4">
        <v>1</v>
      </c>
      <c r="F4" s="5" t="str">
        <f t="shared" si="0"/>
        <v>OK</v>
      </c>
      <c r="H4" s="28"/>
      <c r="I4" s="47"/>
      <c r="J4" s="18" t="s">
        <v>89</v>
      </c>
      <c r="K4" s="47">
        <f>IF(OR(Z4="",AA4=""),"",COUNTIFS($Z$3:Z4,Z4,$AA$3:AA4,AA4))</f>
        <v>2</v>
      </c>
      <c r="M4" s="54"/>
      <c r="N4" s="57"/>
      <c r="O4" s="18">
        <v>-1</v>
      </c>
      <c r="P4" s="57">
        <f>IF(OR(AE4="",AF4=""),"",COUNTIFS($AE$3:AE4,AE4,$AF$3:AF4,AF4))</f>
        <v>2</v>
      </c>
      <c r="R4" s="61"/>
      <c r="S4" s="64"/>
      <c r="T4" s="18" t="s">
        <v>90</v>
      </c>
      <c r="U4" s="64">
        <f>IF(OR(AJ4="",AK4=""),"",COUNTIFS($AJ$3:AJ4,AJ4,$AK$3:AK4,AK4))</f>
        <v>2</v>
      </c>
      <c r="W4" s="9" t="s">
        <v>45</v>
      </c>
      <c r="X4" s="10"/>
      <c r="Z4" s="6" t="str">
        <f t="shared" ref="Z4:Z47" si="7">IF(J4="","",IF(H4&lt;&gt;"",H4,Z3))</f>
        <v>Strain 1</v>
      </c>
      <c r="AA4" s="6" t="str">
        <f t="shared" ref="AA4:AA47" si="8">IF(J4="","",IF(H4&lt;&gt;"",IF(I4&lt;&gt;"",I4,""),IF(I4&lt;&gt;"",I4,AA3)))</f>
        <v>A</v>
      </c>
      <c r="AB4" s="6" t="str">
        <f t="shared" si="1"/>
        <v>Strain 1|A|002</v>
      </c>
      <c r="AC4" s="6" t="str">
        <f t="shared" si="2"/>
        <v>OK</v>
      </c>
      <c r="AE4" s="6" t="str">
        <f t="shared" ref="AE4:AE47" si="9">IF(O4="","",IF(M4&lt;&gt;"",M4,AE3))</f>
        <v>Vertical 1</v>
      </c>
      <c r="AF4" s="6" t="str">
        <f t="shared" ref="AF4:AF47" si="10">IF(O4="","",IF(M4&lt;&gt;"",IF(N4&lt;&gt;"",N4,""),IF(N4&lt;&gt;"",N4,AF3)))</f>
        <v>A</v>
      </c>
      <c r="AG4" s="6" t="str">
        <f t="shared" si="3"/>
        <v>Vertical 1|A|002</v>
      </c>
      <c r="AH4" s="6" t="str">
        <f t="shared" si="4"/>
        <v>OK</v>
      </c>
      <c r="AJ4" s="6" t="str">
        <f t="shared" ref="AJ4:AJ47" si="11">IF(T4="","",IF(R4&lt;&gt;"",R4,AJ3))</f>
        <v>Other 1</v>
      </c>
      <c r="AK4" s="6" t="str">
        <f t="shared" ref="AK4:AK47" si="12">IF(T4="","",IF(R4&lt;&gt;"",IF(S4&lt;&gt;"",S4,""),IF(S4&lt;&gt;"",S4,AK3)))</f>
        <v>A</v>
      </c>
      <c r="AL4" s="6" t="str">
        <f t="shared" si="5"/>
        <v>Other 1|A|002</v>
      </c>
      <c r="AM4" s="6" t="str">
        <f t="shared" si="6"/>
        <v>OK</v>
      </c>
      <c r="AY4" s="15" t="s">
        <v>41</v>
      </c>
      <c r="AZ4" s="16" t="b">
        <v>0</v>
      </c>
    </row>
    <row r="5" spans="1:52">
      <c r="A5" s="5" t="str">
        <f>IF(B5="","",IFERROR(INDEX(Overview!$B$3:$B$62,MATCH(B5,Overview!$V$3:$V$62,0)),""))</f>
        <v>14.08.26</v>
      </c>
      <c r="B5" s="43" t="s">
        <v>32</v>
      </c>
      <c r="C5" s="113" t="s">
        <v>94</v>
      </c>
      <c r="D5" s="62" t="s">
        <v>95</v>
      </c>
      <c r="E5" s="4">
        <v>1</v>
      </c>
      <c r="F5" s="5" t="str">
        <f t="shared" si="0"/>
        <v>OK</v>
      </c>
      <c r="H5" s="24"/>
      <c r="I5" s="44"/>
      <c r="J5" s="4" t="s">
        <v>92</v>
      </c>
      <c r="K5" s="44">
        <f>IF(OR(Z5="",AA5=""),"",COUNTIFS($Z$3:Z5,Z5,$AA$3:AA5,AA5))</f>
        <v>3</v>
      </c>
      <c r="M5" s="49"/>
      <c r="N5" s="55"/>
      <c r="O5" s="4">
        <v>-2</v>
      </c>
      <c r="P5" s="55">
        <f>IF(OR(AE5="",AF5=""),"",COUNTIFS($AE$3:AE5,AE5,$AF$3:AF5,AF5))</f>
        <v>3</v>
      </c>
      <c r="R5" s="58"/>
      <c r="S5" s="65" t="s">
        <v>39</v>
      </c>
      <c r="T5" s="4" t="s">
        <v>93</v>
      </c>
      <c r="U5" s="65">
        <f>IF(OR(AJ5="",AK5=""),"",COUNTIFS($AJ$3:AJ5,AJ5,$AK$3:AK5,AK5))</f>
        <v>1</v>
      </c>
      <c r="W5" s="9" t="s">
        <v>47</v>
      </c>
      <c r="X5" s="10"/>
      <c r="Z5" s="6" t="str">
        <f t="shared" si="7"/>
        <v>Strain 1</v>
      </c>
      <c r="AA5" s="6" t="str">
        <f t="shared" si="8"/>
        <v>A</v>
      </c>
      <c r="AB5" s="6" t="str">
        <f t="shared" si="1"/>
        <v>Strain 1|A|003</v>
      </c>
      <c r="AC5" s="6" t="str">
        <f t="shared" si="2"/>
        <v>OK</v>
      </c>
      <c r="AE5" s="6" t="str">
        <f t="shared" si="9"/>
        <v>Vertical 1</v>
      </c>
      <c r="AF5" s="6" t="str">
        <f t="shared" si="10"/>
        <v>A</v>
      </c>
      <c r="AG5" s="6" t="str">
        <f t="shared" si="3"/>
        <v>Vertical 1|A|003</v>
      </c>
      <c r="AH5" s="6" t="str">
        <f t="shared" si="4"/>
        <v>OK</v>
      </c>
      <c r="AJ5" s="6" t="str">
        <f t="shared" si="11"/>
        <v>Other 1</v>
      </c>
      <c r="AK5" s="6" t="str">
        <f t="shared" si="12"/>
        <v>B</v>
      </c>
      <c r="AL5" s="6" t="str">
        <f t="shared" si="5"/>
        <v>Other 1|B|001</v>
      </c>
      <c r="AM5" s="6" t="str">
        <f t="shared" si="6"/>
        <v>OK</v>
      </c>
      <c r="AY5" s="15" t="s">
        <v>46</v>
      </c>
      <c r="AZ5" s="15">
        <v>47</v>
      </c>
    </row>
    <row r="6" spans="1:52" ht="13.9" thickBot="1">
      <c r="A6" s="5" t="str">
        <f>IF(B6="","",IFERROR(INDEX(Overview!$B$3:$B$62,MATCH(B6,Overview!$V$3:$V$62,0)),""))</f>
        <v>16.08.26</v>
      </c>
      <c r="B6" s="44" t="s">
        <v>43</v>
      </c>
      <c r="C6" s="113" t="s">
        <v>82</v>
      </c>
      <c r="D6" s="30" t="s">
        <v>88</v>
      </c>
      <c r="E6" s="4">
        <v>1</v>
      </c>
      <c r="F6" s="5" t="str">
        <f t="shared" si="0"/>
        <v>OK</v>
      </c>
      <c r="H6" s="24"/>
      <c r="I6" s="44"/>
      <c r="J6" s="4" t="s">
        <v>96</v>
      </c>
      <c r="K6" s="44">
        <f>IF(OR(Z6="",AA6=""),"",COUNTIFS($Z$3:Z6,Z6,$AA$3:AA6,AA6))</f>
        <v>4</v>
      </c>
      <c r="M6" s="49"/>
      <c r="N6" s="55"/>
      <c r="O6" s="4">
        <v>-3</v>
      </c>
      <c r="P6" s="55">
        <f>IF(OR(AE6="",AF6=""),"",COUNTIFS($AE$3:AE6,AE6,$AF$3:AF6,AF6))</f>
        <v>4</v>
      </c>
      <c r="R6" s="67"/>
      <c r="S6" s="68"/>
      <c r="T6" s="36" t="s">
        <v>97</v>
      </c>
      <c r="U6" s="68">
        <f>IF(OR(AJ6="",AK6=""),"",COUNTIFS($AJ$3:AJ6,AJ6,$AK$3:AK6,AK6))</f>
        <v>2</v>
      </c>
      <c r="W6" s="9"/>
      <c r="X6" s="10"/>
      <c r="Z6" s="6" t="str">
        <f t="shared" si="7"/>
        <v>Strain 1</v>
      </c>
      <c r="AA6" s="6" t="str">
        <f t="shared" si="8"/>
        <v>A</v>
      </c>
      <c r="AB6" s="6" t="str">
        <f t="shared" si="1"/>
        <v>Strain 1|A|004</v>
      </c>
      <c r="AC6" s="6" t="str">
        <f t="shared" si="2"/>
        <v>OK</v>
      </c>
      <c r="AE6" s="6" t="str">
        <f t="shared" si="9"/>
        <v>Vertical 1</v>
      </c>
      <c r="AF6" s="6" t="str">
        <f t="shared" si="10"/>
        <v>A</v>
      </c>
      <c r="AG6" s="6" t="str">
        <f t="shared" si="3"/>
        <v>Vertical 1|A|004</v>
      </c>
      <c r="AH6" s="6" t="str">
        <f t="shared" si="4"/>
        <v>OK</v>
      </c>
      <c r="AJ6" s="6" t="str">
        <f t="shared" si="11"/>
        <v>Other 1</v>
      </c>
      <c r="AK6" s="6" t="str">
        <f t="shared" si="12"/>
        <v>B</v>
      </c>
      <c r="AL6" s="6" t="str">
        <f t="shared" si="5"/>
        <v>Other 1|B|002</v>
      </c>
      <c r="AM6" s="6" t="str">
        <f t="shared" si="6"/>
        <v>OK</v>
      </c>
    </row>
    <row r="7" spans="1:52">
      <c r="A7" s="5" t="str">
        <f>IF(B7="","",IFERROR(INDEX(Overview!$B$3:$B$62,MATCH(B7,Overview!$V$3:$V$62,0)),""))</f>
        <v>16.08.26</v>
      </c>
      <c r="B7" s="44" t="s">
        <v>43</v>
      </c>
      <c r="C7" s="113" t="s">
        <v>91</v>
      </c>
      <c r="D7" s="49" t="s">
        <v>85</v>
      </c>
      <c r="E7" s="4">
        <v>1</v>
      </c>
      <c r="F7" s="5" t="str">
        <f t="shared" si="0"/>
        <v>OK</v>
      </c>
      <c r="H7" s="24"/>
      <c r="I7" s="44"/>
      <c r="J7" s="18" t="s">
        <v>127</v>
      </c>
      <c r="K7" s="44">
        <f>IF(OR(Z7="",AA7=""),"",COUNTIFS($Z$3:Z7,Z7,$AA$3:AA7,AA7))</f>
        <v>5</v>
      </c>
      <c r="M7" s="49"/>
      <c r="N7" s="55"/>
      <c r="O7" s="4">
        <v>0</v>
      </c>
      <c r="P7" s="55">
        <f>IF(OR(AE7="",AF7=""),"",COUNTIFS($AE$3:AE7,AE7,$AF$3:AF7,AF7))</f>
        <v>5</v>
      </c>
      <c r="R7" s="69" t="s">
        <v>95</v>
      </c>
      <c r="S7" s="70" t="s">
        <v>30</v>
      </c>
      <c r="T7" s="21" t="s">
        <v>98</v>
      </c>
      <c r="U7" s="70">
        <f>IF(OR(AJ7="",AK7=""),"",COUNTIFS($AJ$3:AJ7,AJ7,$AK$3:AK7,AK7))</f>
        <v>1</v>
      </c>
      <c r="W7" s="9"/>
      <c r="X7" s="10"/>
      <c r="Z7" s="6" t="str">
        <f t="shared" si="7"/>
        <v>Strain 1</v>
      </c>
      <c r="AA7" s="6" t="str">
        <f t="shared" si="8"/>
        <v>A</v>
      </c>
      <c r="AB7" s="6" t="str">
        <f t="shared" si="1"/>
        <v>Strain 1|A|005</v>
      </c>
      <c r="AC7" s="6" t="str">
        <f t="shared" si="2"/>
        <v>OK</v>
      </c>
      <c r="AE7" s="6" t="str">
        <f t="shared" si="9"/>
        <v>Vertical 1</v>
      </c>
      <c r="AF7" s="6" t="str">
        <f t="shared" si="10"/>
        <v>A</v>
      </c>
      <c r="AG7" s="6" t="str">
        <f t="shared" si="3"/>
        <v>Vertical 1|A|005</v>
      </c>
      <c r="AH7" s="6" t="str">
        <f t="shared" si="4"/>
        <v>OK</v>
      </c>
      <c r="AJ7" s="6" t="str">
        <f t="shared" si="11"/>
        <v>Other 2</v>
      </c>
      <c r="AK7" s="6" t="str">
        <f t="shared" si="12"/>
        <v>A</v>
      </c>
      <c r="AL7" s="6" t="str">
        <f t="shared" si="5"/>
        <v>Other 2|A|001</v>
      </c>
      <c r="AM7" s="6" t="str">
        <f t="shared" si="6"/>
        <v>OK</v>
      </c>
    </row>
    <row r="8" spans="1:52" ht="13.9" thickBot="1">
      <c r="A8" s="5" t="str">
        <f>IF(B8="","",IFERROR(INDEX(Overview!$B$3:$B$62,MATCH(B8,Overview!$V$3:$V$62,0)),""))</f>
        <v>16.08.26</v>
      </c>
      <c r="B8" s="44" t="s">
        <v>43</v>
      </c>
      <c r="C8" s="113" t="s">
        <v>94</v>
      </c>
      <c r="D8" s="58" t="s">
        <v>86</v>
      </c>
      <c r="E8" s="4">
        <v>1</v>
      </c>
      <c r="F8" s="5" t="str">
        <f t="shared" si="0"/>
        <v>OK</v>
      </c>
      <c r="H8" s="24"/>
      <c r="I8" s="44"/>
      <c r="J8" s="4" t="s">
        <v>128</v>
      </c>
      <c r="K8" s="44">
        <f>IF(OR(Z8="",AA8=""),"",COUNTIFS($Z$3:Z8,Z8,$AA$3:AA8,AA8))</f>
        <v>6</v>
      </c>
      <c r="M8" s="59"/>
      <c r="N8" s="110"/>
      <c r="O8" s="36">
        <v>-1</v>
      </c>
      <c r="P8" s="110">
        <f>IF(OR(AE8="",AF8=""),"",COUNTIFS($AE$3:AE8,AE8,$AF$3:AF8,AF8))</f>
        <v>6</v>
      </c>
      <c r="R8" s="71"/>
      <c r="S8" s="72"/>
      <c r="T8" s="18" t="s">
        <v>99</v>
      </c>
      <c r="U8" s="72">
        <f>IF(OR(AJ8="",AK8=""),"",COUNTIFS($AJ$3:AJ8,AJ8,$AK$3:AK8,AK8))</f>
        <v>2</v>
      </c>
      <c r="W8" s="9"/>
      <c r="X8" s="10"/>
      <c r="Z8" s="6" t="str">
        <f t="shared" si="7"/>
        <v>Strain 1</v>
      </c>
      <c r="AA8" s="6" t="str">
        <f t="shared" si="8"/>
        <v>A</v>
      </c>
      <c r="AB8" s="6" t="str">
        <f t="shared" si="1"/>
        <v>Strain 1|A|006</v>
      </c>
      <c r="AC8" s="6" t="str">
        <f t="shared" si="2"/>
        <v>OK</v>
      </c>
      <c r="AE8" s="6" t="str">
        <f t="shared" si="9"/>
        <v>Vertical 1</v>
      </c>
      <c r="AF8" s="6" t="str">
        <f t="shared" si="10"/>
        <v>A</v>
      </c>
      <c r="AG8" s="6" t="str">
        <f t="shared" si="3"/>
        <v>Vertical 1|A|006</v>
      </c>
      <c r="AH8" s="6" t="str">
        <f t="shared" si="4"/>
        <v>OK</v>
      </c>
      <c r="AJ8" s="6" t="str">
        <f t="shared" si="11"/>
        <v>Other 2</v>
      </c>
      <c r="AK8" s="6" t="str">
        <f t="shared" si="12"/>
        <v>A</v>
      </c>
      <c r="AL8" s="6" t="str">
        <f t="shared" si="5"/>
        <v>Other 2|A|002</v>
      </c>
      <c r="AM8" s="6" t="str">
        <f t="shared" si="6"/>
        <v>OK</v>
      </c>
    </row>
    <row r="9" spans="1:52" ht="13.9" thickBot="1">
      <c r="A9" s="5" t="str">
        <f>IF(B9="","",IFERROR(INDEX(Overview!$B$3:$B$62,MATCH(B9,Overview!$V$3:$V$62,0)),""))</f>
        <v>16.08.26</v>
      </c>
      <c r="B9" s="44" t="s">
        <v>43</v>
      </c>
      <c r="C9" s="113" t="s">
        <v>94</v>
      </c>
      <c r="D9" s="62" t="s">
        <v>95</v>
      </c>
      <c r="E9" s="4">
        <v>2</v>
      </c>
      <c r="F9" s="5" t="str">
        <f t="shared" si="0"/>
        <v>OK</v>
      </c>
      <c r="H9" s="50"/>
      <c r="I9" s="107"/>
      <c r="J9" s="4" t="s">
        <v>129</v>
      </c>
      <c r="K9" s="107">
        <f>IF(OR(Z9="",AA9=""),"",COUNTIFS($Z$3:Z9,Z9,$AA$3:AA9,AA9))</f>
        <v>7</v>
      </c>
      <c r="M9" s="52"/>
      <c r="N9" s="56"/>
      <c r="O9" s="21">
        <v>-2</v>
      </c>
      <c r="P9" s="56">
        <f>IF(OR(AE9="",AF9=""),"",COUNTIFS($AE$3:AE9,AE9,$AF$3:AF9,AF9))</f>
        <v>7</v>
      </c>
      <c r="R9" s="62"/>
      <c r="S9" s="66"/>
      <c r="T9" s="4" t="s">
        <v>100</v>
      </c>
      <c r="U9" s="66">
        <f>IF(OR(AJ9="",AK9=""),"",COUNTIFS($AJ$3:AJ9,AJ9,$AK$3:AK9,AK9))</f>
        <v>3</v>
      </c>
      <c r="W9" s="9"/>
      <c r="X9" s="10"/>
      <c r="Z9" s="6" t="str">
        <f t="shared" si="7"/>
        <v>Strain 1</v>
      </c>
      <c r="AA9" s="6" t="str">
        <f t="shared" si="8"/>
        <v>A</v>
      </c>
      <c r="AB9" s="6" t="str">
        <f t="shared" si="1"/>
        <v>Strain 1|A|007</v>
      </c>
      <c r="AC9" s="6" t="str">
        <f t="shared" si="2"/>
        <v>OK</v>
      </c>
      <c r="AE9" s="6" t="str">
        <f t="shared" si="9"/>
        <v>Vertical 1</v>
      </c>
      <c r="AF9" s="6" t="str">
        <f t="shared" si="10"/>
        <v>A</v>
      </c>
      <c r="AG9" s="6" t="str">
        <f t="shared" si="3"/>
        <v>Vertical 1|A|007</v>
      </c>
      <c r="AH9" s="6" t="str">
        <f t="shared" si="4"/>
        <v>OK</v>
      </c>
      <c r="AJ9" s="6" t="str">
        <f t="shared" si="11"/>
        <v>Other 2</v>
      </c>
      <c r="AK9" s="6" t="str">
        <f t="shared" si="12"/>
        <v>A</v>
      </c>
      <c r="AL9" s="6" t="str">
        <f t="shared" si="5"/>
        <v>Other 2|A|003</v>
      </c>
      <c r="AM9" s="6" t="str">
        <f t="shared" si="6"/>
        <v>OK</v>
      </c>
    </row>
    <row r="10" spans="1:52">
      <c r="A10" s="5" t="str">
        <f>IF(B10="","",IFERROR(INDEX(Overview!$B$3:$B$62,MATCH(B10,Overview!$V$3:$V$62,0)),""))</f>
        <v/>
      </c>
      <c r="B10" s="113"/>
      <c r="C10" s="113"/>
      <c r="D10" s="113"/>
      <c r="E10" s="4"/>
      <c r="F10" s="5"/>
      <c r="H10" s="26"/>
      <c r="I10" s="46"/>
      <c r="J10" s="18" t="s">
        <v>130</v>
      </c>
      <c r="K10" s="46">
        <f>IF(OR(Z10="",AA10=""),"",COUNTIFS($Z$3:Z10,Z10,$AA$3:AA10,AA10))</f>
        <v>8</v>
      </c>
      <c r="M10" s="54"/>
      <c r="N10" s="57"/>
      <c r="O10" s="18">
        <v>-3</v>
      </c>
      <c r="P10" s="57">
        <f>IF(OR(AE10="",AF10=""),"",COUNTIFS($AE$3:AE10,AE10,$AF$3:AF10,AF10))</f>
        <v>8</v>
      </c>
      <c r="R10" s="62"/>
      <c r="S10" s="73" t="s">
        <v>39</v>
      </c>
      <c r="T10" s="4" t="s">
        <v>102</v>
      </c>
      <c r="U10" s="73">
        <f>IF(OR(AJ10="",AK10=""),"",COUNTIFS($AJ$3:AJ10,AJ10,$AK$3:AK10,AK10))</f>
        <v>1</v>
      </c>
      <c r="W10" s="9"/>
      <c r="X10" s="10"/>
      <c r="Z10" s="6" t="str">
        <f t="shared" ref="Z10:Z12" si="13">IF(J10="","",IF(H10&lt;&gt;"",H10,Z9))</f>
        <v>Strain 1</v>
      </c>
      <c r="AA10" s="6" t="str">
        <f t="shared" ref="AA10:AA12" si="14">IF(J10="","",IF(H10&lt;&gt;"",IF(I10&lt;&gt;"",I10,""),IF(I10&lt;&gt;"",I10,AA9)))</f>
        <v>A</v>
      </c>
      <c r="AB10" s="6" t="str">
        <f t="shared" si="1"/>
        <v>Strain 1|A|008</v>
      </c>
      <c r="AC10" s="6" t="str">
        <f t="shared" ref="AC10:AC12" si="15">IF(J10="","",IF(Z10="","Missing profile",IF(AA10="","Missing Set",IF(COUNTIF($AB$3:$AB$47,AB10)&gt;1,"Duplicate key","OK"))))</f>
        <v>OK</v>
      </c>
      <c r="AE10" s="6" t="str">
        <f t="shared" si="9"/>
        <v>Vertical 1</v>
      </c>
      <c r="AF10" s="6" t="str">
        <f t="shared" si="10"/>
        <v>A</v>
      </c>
      <c r="AG10" s="6" t="str">
        <f t="shared" si="3"/>
        <v>Vertical 1|A|008</v>
      </c>
      <c r="AH10" s="6" t="str">
        <f t="shared" si="4"/>
        <v>OK</v>
      </c>
      <c r="AJ10" s="6" t="str">
        <f t="shared" si="11"/>
        <v>Other 2</v>
      </c>
      <c r="AK10" s="6" t="str">
        <f t="shared" si="12"/>
        <v>B</v>
      </c>
      <c r="AL10" s="6" t="str">
        <f t="shared" si="5"/>
        <v>Other 2|B|001</v>
      </c>
      <c r="AM10" s="6" t="str">
        <f t="shared" si="6"/>
        <v>OK</v>
      </c>
    </row>
    <row r="11" spans="1:52">
      <c r="A11" s="5" t="str">
        <f>IF(B11="","",IFERROR(INDEX(Overview!$B$3:$B$62,MATCH(B11,Overview!$V$3:$V$62,0)),""))</f>
        <v/>
      </c>
      <c r="B11" s="113"/>
      <c r="C11" s="113"/>
      <c r="D11" s="113"/>
      <c r="E11" s="4"/>
      <c r="F11" s="5"/>
      <c r="H11" s="28"/>
      <c r="I11" s="47"/>
      <c r="J11" s="4" t="s">
        <v>131</v>
      </c>
      <c r="K11" s="47">
        <f>IF(OR(Z11="",AA11=""),"",COUNTIFS($Z$3:Z11,Z11,$AA$3:AA11,AA11))</f>
        <v>9</v>
      </c>
      <c r="M11" s="25"/>
      <c r="N11" s="58"/>
      <c r="O11" s="4"/>
      <c r="P11" s="58" t="str">
        <f>IF(OR(AE11="",AF11=""),"",COUNTIFS($AE$3:AE11,AE11,$AF$3:AF11,AF11))</f>
        <v/>
      </c>
      <c r="R11" s="62"/>
      <c r="S11" s="73"/>
      <c r="T11" s="4" t="s">
        <v>104</v>
      </c>
      <c r="U11" s="73">
        <f>IF(OR(AJ11="",AK11=""),"",COUNTIFS($AJ$3:AJ11,AJ11,$AK$3:AK11,AK11))</f>
        <v>2</v>
      </c>
      <c r="W11" s="9"/>
      <c r="X11" s="10"/>
      <c r="Z11" s="6" t="str">
        <f t="shared" si="13"/>
        <v>Strain 1</v>
      </c>
      <c r="AA11" s="6" t="str">
        <f t="shared" si="14"/>
        <v>A</v>
      </c>
      <c r="AB11" s="6" t="str">
        <f t="shared" si="1"/>
        <v>Strain 1|A|009</v>
      </c>
      <c r="AC11" s="6" t="str">
        <f t="shared" si="15"/>
        <v>OK</v>
      </c>
      <c r="AE11" s="6" t="str">
        <f t="shared" si="9"/>
        <v/>
      </c>
      <c r="AF11" s="6" t="str">
        <f t="shared" si="10"/>
        <v/>
      </c>
      <c r="AG11" s="6" t="str">
        <f t="shared" si="3"/>
        <v/>
      </c>
      <c r="AH11" s="6" t="str">
        <f t="shared" si="4"/>
        <v/>
      </c>
      <c r="AJ11" s="6" t="str">
        <f t="shared" si="11"/>
        <v>Other 2</v>
      </c>
      <c r="AK11" s="6" t="str">
        <f t="shared" si="12"/>
        <v>B</v>
      </c>
      <c r="AL11" s="6" t="str">
        <f t="shared" si="5"/>
        <v>Other 2|B|002</v>
      </c>
      <c r="AM11" s="6" t="str">
        <f t="shared" si="6"/>
        <v>OK</v>
      </c>
    </row>
    <row r="12" spans="1:52" ht="13.9" thickBot="1">
      <c r="A12" s="5" t="str">
        <f>IF(B12="","",IFERROR(INDEX(Overview!$B$3:$B$62,MATCH(B12,Overview!$V$3:$V$62,0)),""))</f>
        <v/>
      </c>
      <c r="B12" s="113"/>
      <c r="C12" s="113"/>
      <c r="D12" s="113"/>
      <c r="E12" s="4"/>
      <c r="F12" s="5" t="str">
        <f t="shared" si="0"/>
        <v/>
      </c>
      <c r="H12" s="50"/>
      <c r="I12" s="107"/>
      <c r="J12" s="4" t="s">
        <v>132</v>
      </c>
      <c r="K12" s="107">
        <f>IF(OR(Z12="",AA12=""),"",COUNTIFS($Z$3:Z12,Z12,$AA$3:AA12,AA12))</f>
        <v>10</v>
      </c>
      <c r="M12" s="25"/>
      <c r="N12" s="62"/>
      <c r="O12" s="4"/>
      <c r="P12" s="62" t="str">
        <f>IF(OR(AE12="",AF12=""),"",COUNTIFS($AE$3:AE12,AE12,$AF$3:AF12,AF12))</f>
        <v/>
      </c>
      <c r="R12" s="62"/>
      <c r="S12" s="73"/>
      <c r="T12" s="4" t="s">
        <v>106</v>
      </c>
      <c r="U12" s="73">
        <f>IF(OR(AJ12="",AK12=""),"",COUNTIFS($AJ$3:AJ12,AJ12,$AK$3:AK12,AK12))</f>
        <v>3</v>
      </c>
      <c r="W12" s="11"/>
      <c r="X12" s="12"/>
      <c r="Z12" s="6" t="str">
        <f t="shared" si="13"/>
        <v>Strain 1</v>
      </c>
      <c r="AA12" s="6" t="str">
        <f t="shared" si="14"/>
        <v>A</v>
      </c>
      <c r="AB12" s="6" t="str">
        <f t="shared" si="1"/>
        <v>Strain 1|A|010</v>
      </c>
      <c r="AC12" s="6" t="str">
        <f t="shared" si="15"/>
        <v>OK</v>
      </c>
      <c r="AE12" s="6" t="str">
        <f t="shared" si="9"/>
        <v/>
      </c>
      <c r="AF12" s="6" t="str">
        <f t="shared" si="10"/>
        <v/>
      </c>
      <c r="AG12" s="6" t="str">
        <f t="shared" si="3"/>
        <v/>
      </c>
      <c r="AH12" s="6" t="str">
        <f t="shared" si="4"/>
        <v/>
      </c>
      <c r="AJ12" s="6" t="str">
        <f t="shared" si="11"/>
        <v>Other 2</v>
      </c>
      <c r="AK12" s="6" t="str">
        <f t="shared" si="12"/>
        <v>B</v>
      </c>
      <c r="AL12" s="6" t="str">
        <f t="shared" si="5"/>
        <v>Other 2|B|003</v>
      </c>
      <c r="AM12" s="6" t="str">
        <f t="shared" si="6"/>
        <v>OK</v>
      </c>
    </row>
    <row r="13" spans="1:52">
      <c r="A13" s="5" t="str">
        <f>IF(B13="","",IFERROR(INDEX(Overview!$B$3:$B$62,MATCH(B13,Overview!$V$3:$V$62,0)),""))</f>
        <v/>
      </c>
      <c r="B13" s="113"/>
      <c r="C13" s="113"/>
      <c r="D13" s="113"/>
      <c r="E13" s="4"/>
      <c r="F13" s="5" t="str">
        <f t="shared" si="0"/>
        <v/>
      </c>
      <c r="H13" s="26"/>
      <c r="I13" s="46"/>
      <c r="J13" s="18" t="s">
        <v>133</v>
      </c>
      <c r="K13" s="46">
        <f>IF(OR(Z13="",AA13=""),"",COUNTIFS($Z$3:Z13,Z13,$AA$3:AA13,AA13))</f>
        <v>11</v>
      </c>
      <c r="M13" s="25"/>
      <c r="N13" s="62"/>
      <c r="O13" s="4"/>
      <c r="P13" s="62" t="str">
        <f>IF(OR(AE13="",AF13=""),"",COUNTIFS($AE$3:AE13,AE13,$AF$3:AF13,AF13))</f>
        <v/>
      </c>
      <c r="R13" s="4"/>
      <c r="S13" s="4"/>
      <c r="T13" s="4"/>
      <c r="U13" s="5" t="str">
        <f>IF(OR(AJ13="",AK13=""),"",COUNTIFS($AJ$3:AJ13,AJ13,$AK$3:AK13,AK13))</f>
        <v/>
      </c>
      <c r="Z13" s="6" t="str">
        <f t="shared" ref="Z13:Z19" si="16">IF(J13="","",IF(H13&lt;&gt;"",H13,Z12))</f>
        <v>Strain 1</v>
      </c>
      <c r="AA13" s="6" t="str">
        <f t="shared" ref="AA13:AA19" si="17">IF(J13="","",IF(H13&lt;&gt;"",IF(I13&lt;&gt;"",I13,""),IF(I13&lt;&gt;"",I13,AA12)))</f>
        <v>A</v>
      </c>
      <c r="AB13" s="6" t="str">
        <f t="shared" si="1"/>
        <v>Strain 1|A|011</v>
      </c>
      <c r="AC13" s="6" t="str">
        <f t="shared" ref="AC13:AC19" si="18">IF(J13="","",IF(Z13="","Missing profile",IF(AA13="","Missing Set",IF(COUNTIF($AB$3:$AB$47,AB13)&gt;1,"Duplicate key","OK"))))</f>
        <v>OK</v>
      </c>
      <c r="AE13" s="6" t="str">
        <f t="shared" si="9"/>
        <v/>
      </c>
      <c r="AF13" s="6" t="str">
        <f t="shared" si="10"/>
        <v/>
      </c>
      <c r="AG13" s="6" t="str">
        <f t="shared" si="3"/>
        <v/>
      </c>
      <c r="AH13" s="6" t="str">
        <f t="shared" si="4"/>
        <v/>
      </c>
      <c r="AJ13" s="6" t="str">
        <f t="shared" si="11"/>
        <v/>
      </c>
      <c r="AK13" s="6" t="str">
        <f t="shared" si="12"/>
        <v/>
      </c>
      <c r="AL13" s="6" t="str">
        <f t="shared" si="5"/>
        <v/>
      </c>
      <c r="AM13" s="6" t="str">
        <f t="shared" si="6"/>
        <v/>
      </c>
    </row>
    <row r="14" spans="1:52" ht="13.9" thickBot="1">
      <c r="A14" s="5" t="str">
        <f>IF(B14="","",IFERROR(INDEX(Overview!$B$3:$B$62,MATCH(B14,Overview!$V$3:$V$62,0)),""))</f>
        <v/>
      </c>
      <c r="B14" s="113"/>
      <c r="C14" s="113"/>
      <c r="D14" s="113"/>
      <c r="E14" s="4"/>
      <c r="F14" s="5" t="str">
        <f t="shared" si="0"/>
        <v/>
      </c>
      <c r="H14" s="116"/>
      <c r="I14" s="117"/>
      <c r="J14" s="36" t="s">
        <v>134</v>
      </c>
      <c r="K14" s="117">
        <f>IF(OR(Z14="",AA14=""),"",COUNTIFS($Z$3:Z14,Z14,$AA$3:AA14,AA14))</f>
        <v>12</v>
      </c>
      <c r="M14" s="25"/>
      <c r="N14" s="62"/>
      <c r="O14" s="4"/>
      <c r="P14" s="62" t="str">
        <f>IF(OR(AE14="",AF14=""),"",COUNTIFS($AE$3:AE14,AE14,$AF$3:AF14,AF14))</f>
        <v/>
      </c>
      <c r="R14" s="4"/>
      <c r="S14" s="4"/>
      <c r="T14" s="4"/>
      <c r="U14" s="5" t="str">
        <f>IF(OR(AJ14="",AK14=""),"",COUNTIFS($AJ$3:AJ14,AJ14,$AK$3:AK14,AK14))</f>
        <v/>
      </c>
      <c r="Z14" s="6" t="str">
        <f t="shared" si="16"/>
        <v>Strain 1</v>
      </c>
      <c r="AA14" s="6" t="str">
        <f t="shared" si="17"/>
        <v>A</v>
      </c>
      <c r="AB14" s="6" t="str">
        <f t="shared" si="1"/>
        <v>Strain 1|A|012</v>
      </c>
      <c r="AC14" s="6" t="str">
        <f t="shared" si="18"/>
        <v>OK</v>
      </c>
      <c r="AE14" s="6" t="str">
        <f t="shared" si="9"/>
        <v/>
      </c>
      <c r="AF14" s="6" t="str">
        <f t="shared" si="10"/>
        <v/>
      </c>
      <c r="AG14" s="6" t="str">
        <f t="shared" si="3"/>
        <v/>
      </c>
      <c r="AH14" s="6" t="str">
        <f t="shared" si="4"/>
        <v/>
      </c>
      <c r="AJ14" s="6" t="str">
        <f t="shared" si="11"/>
        <v/>
      </c>
      <c r="AK14" s="6" t="str">
        <f t="shared" si="12"/>
        <v/>
      </c>
      <c r="AL14" s="6" t="str">
        <f t="shared" si="5"/>
        <v/>
      </c>
      <c r="AM14" s="6" t="str">
        <f t="shared" si="6"/>
        <v/>
      </c>
    </row>
    <row r="15" spans="1:52">
      <c r="A15" s="5" t="str">
        <f>IF(B15="","",IFERROR(INDEX(Overview!$B$3:$B$62,MATCH(B15,Overview!$V$3:$V$62,0)),""))</f>
        <v/>
      </c>
      <c r="B15" s="113"/>
      <c r="C15" s="113"/>
      <c r="D15" s="113"/>
      <c r="E15" s="4"/>
      <c r="F15" s="5" t="str">
        <f t="shared" si="0"/>
        <v/>
      </c>
      <c r="H15" s="51" t="s">
        <v>88</v>
      </c>
      <c r="I15" s="108" t="s">
        <v>30</v>
      </c>
      <c r="J15" s="21" t="s">
        <v>101</v>
      </c>
      <c r="K15" s="108">
        <f>IF(OR(Z15="",AA15=""),"",COUNTIFS($Z$3:Z15,Z15,$AA$3:AA15,AA15))</f>
        <v>1</v>
      </c>
      <c r="M15" s="4"/>
      <c r="N15" s="4"/>
      <c r="O15" s="4"/>
      <c r="P15" s="5" t="str">
        <f>IF(OR(AE15="",AF15=""),"",COUNTIFS($AE$3:AE15,AE15,$AF$3:AF15,AF15))</f>
        <v/>
      </c>
      <c r="R15" s="4"/>
      <c r="S15" s="4"/>
      <c r="T15" s="4"/>
      <c r="U15" s="5" t="str">
        <f>IF(OR(AJ15="",AK15=""),"",COUNTIFS($AJ$3:AJ15,AJ15,$AK$3:AK15,AK15))</f>
        <v/>
      </c>
      <c r="Z15" s="6" t="str">
        <f t="shared" si="16"/>
        <v>Strain 2</v>
      </c>
      <c r="AA15" s="6" t="str">
        <f t="shared" si="17"/>
        <v>A</v>
      </c>
      <c r="AB15" s="6" t="str">
        <f t="shared" si="1"/>
        <v>Strain 2|A|001</v>
      </c>
      <c r="AC15" s="6" t="str">
        <f t="shared" si="18"/>
        <v>OK</v>
      </c>
      <c r="AE15" s="6" t="str">
        <f t="shared" si="9"/>
        <v/>
      </c>
      <c r="AF15" s="6" t="str">
        <f t="shared" si="10"/>
        <v/>
      </c>
      <c r="AG15" s="6" t="str">
        <f t="shared" si="3"/>
        <v/>
      </c>
      <c r="AH15" s="6" t="str">
        <f t="shared" si="4"/>
        <v/>
      </c>
      <c r="AJ15" s="6" t="str">
        <f t="shared" si="11"/>
        <v/>
      </c>
      <c r="AK15" s="6" t="str">
        <f t="shared" si="12"/>
        <v/>
      </c>
      <c r="AL15" s="6" t="str">
        <f t="shared" si="5"/>
        <v/>
      </c>
      <c r="AM15" s="6" t="str">
        <f t="shared" si="6"/>
        <v/>
      </c>
    </row>
    <row r="16" spans="1:52">
      <c r="A16" s="5" t="str">
        <f>IF(B16="","",IFERROR(INDEX(Overview!$B$3:$B$62,MATCH(B16,Overview!$V$3:$V$62,0)),""))</f>
        <v/>
      </c>
      <c r="B16" s="113"/>
      <c r="C16" s="113"/>
      <c r="D16" s="113"/>
      <c r="E16" s="4"/>
      <c r="F16" s="5" t="str">
        <f t="shared" si="0"/>
        <v/>
      </c>
      <c r="H16" s="53"/>
      <c r="I16" s="109"/>
      <c r="J16" s="18" t="s">
        <v>103</v>
      </c>
      <c r="K16" s="109">
        <f>IF(OR(Z16="",AA16=""),"",COUNTIFS($Z$3:Z16,Z16,$AA$3:AA16,AA16))</f>
        <v>2</v>
      </c>
      <c r="M16" s="4"/>
      <c r="N16" s="4"/>
      <c r="O16" s="4"/>
      <c r="P16" s="5" t="str">
        <f>IF(OR(AE16="",AF16=""),"",COUNTIFS($AE$3:AE16,AE16,$AF$3:AF16,AF16))</f>
        <v/>
      </c>
      <c r="R16" s="4"/>
      <c r="S16" s="4"/>
      <c r="T16" s="4"/>
      <c r="U16" s="5" t="str">
        <f>IF(OR(AJ16="",AK16=""),"",COUNTIFS($AJ$3:AJ16,AJ16,$AK$3:AK16,AK16))</f>
        <v/>
      </c>
      <c r="Z16" s="6" t="str">
        <f t="shared" si="16"/>
        <v>Strain 2</v>
      </c>
      <c r="AA16" s="6" t="str">
        <f t="shared" si="17"/>
        <v>A</v>
      </c>
      <c r="AB16" s="6" t="str">
        <f t="shared" si="1"/>
        <v>Strain 2|A|002</v>
      </c>
      <c r="AC16" s="6" t="str">
        <f t="shared" si="18"/>
        <v>OK</v>
      </c>
      <c r="AE16" s="6" t="str">
        <f t="shared" si="9"/>
        <v/>
      </c>
      <c r="AF16" s="6" t="str">
        <f t="shared" si="10"/>
        <v/>
      </c>
      <c r="AG16" s="6" t="str">
        <f t="shared" si="3"/>
        <v/>
      </c>
      <c r="AH16" s="6" t="str">
        <f t="shared" si="4"/>
        <v/>
      </c>
      <c r="AJ16" s="6" t="str">
        <f t="shared" si="11"/>
        <v/>
      </c>
      <c r="AK16" s="6" t="str">
        <f t="shared" si="12"/>
        <v/>
      </c>
      <c r="AL16" s="6" t="str">
        <f t="shared" si="5"/>
        <v/>
      </c>
      <c r="AM16" s="6" t="str">
        <f t="shared" si="6"/>
        <v/>
      </c>
    </row>
    <row r="17" spans="1:39" ht="13.9" thickBot="1">
      <c r="A17" s="5" t="str">
        <f>IF(B17="","",IFERROR(INDEX(Overview!$B$3:$B$62,MATCH(B17,Overview!$V$3:$V$62,0)),""))</f>
        <v/>
      </c>
      <c r="B17" s="113"/>
      <c r="C17" s="113"/>
      <c r="D17" s="113"/>
      <c r="E17" s="4"/>
      <c r="F17" s="5" t="str">
        <f t="shared" si="0"/>
        <v/>
      </c>
      <c r="H17" s="30"/>
      <c r="I17" s="48"/>
      <c r="J17" s="4" t="s">
        <v>105</v>
      </c>
      <c r="K17" s="48">
        <f>IF(OR(Z17="",AA17=""),"",COUNTIFS($Z$3:Z17,Z17,$AA$3:AA17,AA17))</f>
        <v>3</v>
      </c>
      <c r="M17" s="4"/>
      <c r="N17" s="4"/>
      <c r="O17" s="4"/>
      <c r="P17" s="5" t="str">
        <f>IF(OR(AE17="",AF17=""),"",COUNTIFS($AE$3:AE17,AE17,$AF$3:AF17,AF17))</f>
        <v/>
      </c>
      <c r="R17" s="4"/>
      <c r="S17" s="4"/>
      <c r="T17" s="4"/>
      <c r="U17" s="5" t="str">
        <f>IF(OR(AJ17="",AK17=""),"",COUNTIFS($AJ$3:AJ17,AJ17,$AK$3:AK17,AK17))</f>
        <v/>
      </c>
      <c r="Z17" s="6" t="str">
        <f t="shared" si="16"/>
        <v>Strain 2</v>
      </c>
      <c r="AA17" s="6" t="str">
        <f t="shared" si="17"/>
        <v>A</v>
      </c>
      <c r="AB17" s="6" t="str">
        <f t="shared" si="1"/>
        <v>Strain 2|A|003</v>
      </c>
      <c r="AC17" s="6" t="str">
        <f t="shared" si="18"/>
        <v>OK</v>
      </c>
      <c r="AE17" s="6" t="str">
        <f t="shared" si="9"/>
        <v/>
      </c>
      <c r="AF17" s="6" t="str">
        <f t="shared" si="10"/>
        <v/>
      </c>
      <c r="AG17" s="6" t="str">
        <f t="shared" si="3"/>
        <v/>
      </c>
      <c r="AH17" s="6" t="str">
        <f t="shared" si="4"/>
        <v/>
      </c>
      <c r="AJ17" s="6" t="str">
        <f t="shared" si="11"/>
        <v/>
      </c>
      <c r="AK17" s="6" t="str">
        <f t="shared" si="12"/>
        <v/>
      </c>
      <c r="AL17" s="6" t="str">
        <f t="shared" si="5"/>
        <v/>
      </c>
      <c r="AM17" s="6" t="str">
        <f t="shared" si="6"/>
        <v/>
      </c>
    </row>
    <row r="18" spans="1:39">
      <c r="A18" s="5" t="str">
        <f>IF(B18="","",IFERROR(INDEX(Overview!$B$3:$B$62,MATCH(B18,Overview!$V$3:$V$62,0)),""))</f>
        <v/>
      </c>
      <c r="B18" s="113"/>
      <c r="C18" s="113"/>
      <c r="D18" s="113"/>
      <c r="E18" s="4"/>
      <c r="F18" s="5" t="str">
        <f t="shared" si="0"/>
        <v/>
      </c>
      <c r="H18" s="30"/>
      <c r="I18" s="48"/>
      <c r="J18" s="21" t="s">
        <v>135</v>
      </c>
      <c r="K18" s="48">
        <f>IF(OR(Z18="",AA18=""),"",COUNTIFS($Z$3:Z18,Z18,$AA$3:AA18,AA18))</f>
        <v>4</v>
      </c>
      <c r="M18" s="4"/>
      <c r="N18" s="4"/>
      <c r="O18" s="4"/>
      <c r="P18" s="5" t="str">
        <f>IF(OR(AE18="",AF18=""),"",COUNTIFS($AE$3:AE18,AE18,$AF$3:AF18,AF18))</f>
        <v/>
      </c>
      <c r="R18" s="4"/>
      <c r="S18" s="4"/>
      <c r="T18" s="4"/>
      <c r="U18" s="5" t="str">
        <f>IF(OR(AJ18="",AK18=""),"",COUNTIFS($AJ$3:AJ18,AJ18,$AK$3:AK18,AK18))</f>
        <v/>
      </c>
      <c r="Z18" s="6" t="str">
        <f t="shared" si="16"/>
        <v>Strain 2</v>
      </c>
      <c r="AA18" s="6" t="str">
        <f t="shared" si="17"/>
        <v>A</v>
      </c>
      <c r="AB18" s="6" t="str">
        <f t="shared" si="1"/>
        <v>Strain 2|A|004</v>
      </c>
      <c r="AC18" s="6" t="str">
        <f t="shared" si="18"/>
        <v>OK</v>
      </c>
      <c r="AE18" s="6" t="str">
        <f t="shared" si="9"/>
        <v/>
      </c>
      <c r="AF18" s="6" t="str">
        <f t="shared" si="10"/>
        <v/>
      </c>
      <c r="AG18" s="6" t="str">
        <f t="shared" si="3"/>
        <v/>
      </c>
      <c r="AH18" s="6" t="str">
        <f t="shared" si="4"/>
        <v/>
      </c>
      <c r="AJ18" s="6" t="str">
        <f t="shared" si="11"/>
        <v/>
      </c>
      <c r="AK18" s="6" t="str">
        <f t="shared" si="12"/>
        <v/>
      </c>
      <c r="AL18" s="6" t="str">
        <f t="shared" si="5"/>
        <v/>
      </c>
      <c r="AM18" s="6" t="str">
        <f t="shared" si="6"/>
        <v/>
      </c>
    </row>
    <row r="19" spans="1:39">
      <c r="A19" s="5" t="str">
        <f>IF(B19="","",IFERROR(INDEX(Overview!$B$3:$B$62,MATCH(B19,Overview!$V$3:$V$62,0)),""))</f>
        <v/>
      </c>
      <c r="B19" s="113"/>
      <c r="C19" s="113"/>
      <c r="D19" s="113"/>
      <c r="E19" s="4"/>
      <c r="F19" s="5" t="str">
        <f t="shared" si="0"/>
        <v/>
      </c>
      <c r="H19" s="30"/>
      <c r="I19" s="48"/>
      <c r="J19" s="18" t="s">
        <v>136</v>
      </c>
      <c r="K19" s="48">
        <f>IF(OR(Z19="",AA19=""),"",COUNTIFS($Z$3:Z19,Z19,$AA$3:AA19,AA19))</f>
        <v>5</v>
      </c>
      <c r="M19" s="4"/>
      <c r="N19" s="4"/>
      <c r="O19" s="4"/>
      <c r="P19" s="5" t="str">
        <f>IF(OR(AE19="",AF19=""),"",COUNTIFS($AE$3:AE19,AE19,$AF$3:AF19,AF19))</f>
        <v/>
      </c>
      <c r="R19" s="4"/>
      <c r="S19" s="4"/>
      <c r="T19" s="4"/>
      <c r="U19" s="5" t="str">
        <f>IF(OR(AJ19="",AK19=""),"",COUNTIFS($AJ$3:AJ19,AJ19,$AK$3:AK19,AK19))</f>
        <v/>
      </c>
      <c r="Z19" s="6" t="str">
        <f t="shared" si="16"/>
        <v>Strain 2</v>
      </c>
      <c r="AA19" s="6" t="str">
        <f t="shared" si="17"/>
        <v>A</v>
      </c>
      <c r="AB19" s="6" t="str">
        <f t="shared" si="1"/>
        <v>Strain 2|A|005</v>
      </c>
      <c r="AC19" s="6" t="str">
        <f t="shared" si="18"/>
        <v>OK</v>
      </c>
      <c r="AE19" s="6" t="str">
        <f t="shared" si="9"/>
        <v/>
      </c>
      <c r="AF19" s="6" t="str">
        <f t="shared" si="10"/>
        <v/>
      </c>
      <c r="AG19" s="6" t="str">
        <f t="shared" si="3"/>
        <v/>
      </c>
      <c r="AH19" s="6" t="str">
        <f t="shared" si="4"/>
        <v/>
      </c>
      <c r="AJ19" s="6" t="str">
        <f t="shared" si="11"/>
        <v/>
      </c>
      <c r="AK19" s="6" t="str">
        <f t="shared" si="12"/>
        <v/>
      </c>
      <c r="AL19" s="6" t="str">
        <f t="shared" si="5"/>
        <v/>
      </c>
      <c r="AM19" s="6" t="str">
        <f t="shared" si="6"/>
        <v/>
      </c>
    </row>
    <row r="20" spans="1:39">
      <c r="A20" s="5" t="str">
        <f>IF(B20="","",IFERROR(INDEX(Overview!$B$3:$B$62,MATCH(B20,Overview!$V$3:$V$62,0)),""))</f>
        <v/>
      </c>
      <c r="B20" s="113"/>
      <c r="C20" s="113"/>
      <c r="D20" s="113"/>
      <c r="E20" s="4"/>
      <c r="F20" s="5" t="str">
        <f t="shared" si="0"/>
        <v/>
      </c>
      <c r="H20" s="30"/>
      <c r="I20" s="48"/>
      <c r="J20" s="18" t="s">
        <v>137</v>
      </c>
      <c r="K20" s="48">
        <f>IF(OR(Z20="",AA20=""),"",COUNTIFS($Z$3:Z20,Z20,$AA$3:AA20,AA20))</f>
        <v>6</v>
      </c>
      <c r="M20" s="4"/>
      <c r="N20" s="4"/>
      <c r="O20" s="4"/>
      <c r="P20" s="5" t="str">
        <f>IF(OR(AE20="",AF20=""),"",COUNTIFS($AE$3:AE20,AE20,$AF$3:AF20,AF20))</f>
        <v/>
      </c>
      <c r="R20" s="4"/>
      <c r="S20" s="4"/>
      <c r="T20" s="4"/>
      <c r="U20" s="5" t="str">
        <f>IF(OR(AJ20="",AK20=""),"",COUNTIFS($AJ$3:AJ20,AJ20,$AK$3:AK20,AK20))</f>
        <v/>
      </c>
      <c r="Z20" s="6" t="str">
        <f t="shared" si="7"/>
        <v>Strain 2</v>
      </c>
      <c r="AA20" s="6" t="str">
        <f t="shared" si="8"/>
        <v>A</v>
      </c>
      <c r="AB20" s="6" t="str">
        <f t="shared" si="1"/>
        <v>Strain 2|A|006</v>
      </c>
      <c r="AC20" s="6" t="str">
        <f t="shared" si="2"/>
        <v>OK</v>
      </c>
      <c r="AE20" s="6" t="str">
        <f t="shared" si="9"/>
        <v/>
      </c>
      <c r="AF20" s="6" t="str">
        <f t="shared" si="10"/>
        <v/>
      </c>
      <c r="AG20" s="6" t="str">
        <f t="shared" si="3"/>
        <v/>
      </c>
      <c r="AH20" s="6" t="str">
        <f t="shared" si="4"/>
        <v/>
      </c>
      <c r="AJ20" s="6" t="str">
        <f t="shared" si="11"/>
        <v/>
      </c>
      <c r="AK20" s="6" t="str">
        <f t="shared" si="12"/>
        <v/>
      </c>
      <c r="AL20" s="6" t="str">
        <f t="shared" si="5"/>
        <v/>
      </c>
      <c r="AM20" s="6" t="str">
        <f t="shared" si="6"/>
        <v/>
      </c>
    </row>
    <row r="21" spans="1:39" ht="13.9" thickBot="1">
      <c r="A21" s="5" t="str">
        <f>IF(B21="","",IFERROR(INDEX(Overview!$B$3:$B$62,MATCH(B21,Overview!$V$3:$V$62,0)),""))</f>
        <v/>
      </c>
      <c r="B21" s="113"/>
      <c r="C21" s="113"/>
      <c r="D21" s="113"/>
      <c r="E21" s="4"/>
      <c r="F21" s="5" t="str">
        <f t="shared" si="0"/>
        <v/>
      </c>
      <c r="H21" s="30"/>
      <c r="I21" s="48"/>
      <c r="J21" s="4" t="s">
        <v>138</v>
      </c>
      <c r="K21" s="48">
        <f>IF(OR(Z21="",AA21=""),"",COUNTIFS($Z$3:Z21,Z21,$AA$3:AA21,AA21))</f>
        <v>7</v>
      </c>
      <c r="M21" s="4"/>
      <c r="N21" s="4"/>
      <c r="O21" s="4"/>
      <c r="P21" s="5" t="str">
        <f>IF(OR(AE21="",AF21=""),"",COUNTIFS($AE$3:AE21,AE21,$AF$3:AF21,AF21))</f>
        <v/>
      </c>
      <c r="R21" s="4"/>
      <c r="S21" s="4"/>
      <c r="T21" s="4"/>
      <c r="U21" s="5" t="str">
        <f>IF(OR(AJ21="",AK21=""),"",COUNTIFS($AJ$3:AJ21,AJ21,$AK$3:AK21,AK21))</f>
        <v/>
      </c>
      <c r="Z21" s="6" t="str">
        <f t="shared" si="7"/>
        <v>Strain 2</v>
      </c>
      <c r="AA21" s="6" t="str">
        <f t="shared" si="8"/>
        <v>A</v>
      </c>
      <c r="AB21" s="6" t="str">
        <f t="shared" si="1"/>
        <v>Strain 2|A|007</v>
      </c>
      <c r="AC21" s="6" t="str">
        <f t="shared" si="2"/>
        <v>OK</v>
      </c>
      <c r="AE21" s="6" t="str">
        <f t="shared" si="9"/>
        <v/>
      </c>
      <c r="AF21" s="6" t="str">
        <f t="shared" si="10"/>
        <v/>
      </c>
      <c r="AG21" s="6" t="str">
        <f t="shared" si="3"/>
        <v/>
      </c>
      <c r="AH21" s="6" t="str">
        <f t="shared" si="4"/>
        <v/>
      </c>
      <c r="AJ21" s="6" t="str">
        <f t="shared" si="11"/>
        <v/>
      </c>
      <c r="AK21" s="6" t="str">
        <f t="shared" si="12"/>
        <v/>
      </c>
      <c r="AL21" s="6" t="str">
        <f t="shared" si="5"/>
        <v/>
      </c>
      <c r="AM21" s="6" t="str">
        <f t="shared" si="6"/>
        <v/>
      </c>
    </row>
    <row r="22" spans="1:39">
      <c r="A22" s="5" t="str">
        <f>IF(B22="","",IFERROR(INDEX(Overview!$B$3:$B$62,MATCH(B22,Overview!$V$3:$V$62,0)),""))</f>
        <v/>
      </c>
      <c r="B22" s="113"/>
      <c r="C22" s="113"/>
      <c r="D22" s="113"/>
      <c r="E22" s="4"/>
      <c r="F22" s="5" t="str">
        <f t="shared" si="0"/>
        <v/>
      </c>
      <c r="H22" s="30"/>
      <c r="I22" s="48"/>
      <c r="J22" s="21" t="s">
        <v>139</v>
      </c>
      <c r="K22" s="48">
        <f>IF(OR(Z22="",AA22=""),"",COUNTIFS($Z$3:Z22,Z22,$AA$3:AA22,AA22))</f>
        <v>8</v>
      </c>
      <c r="M22" s="4"/>
      <c r="N22" s="4"/>
      <c r="O22" s="4"/>
      <c r="P22" s="5" t="str">
        <f>IF(OR(AE22="",AF22=""),"",COUNTIFS($AE$3:AE22,AE22,$AF$3:AF22,AF22))</f>
        <v/>
      </c>
      <c r="R22" s="4"/>
      <c r="S22" s="4"/>
      <c r="T22" s="4"/>
      <c r="U22" s="5" t="str">
        <f>IF(OR(AJ22="",AK22=""),"",COUNTIFS($AJ$3:AJ22,AJ22,$AK$3:AK22,AK22))</f>
        <v/>
      </c>
      <c r="Z22" s="6" t="str">
        <f t="shared" si="7"/>
        <v>Strain 2</v>
      </c>
      <c r="AA22" s="6" t="str">
        <f t="shared" si="8"/>
        <v>A</v>
      </c>
      <c r="AB22" s="6" t="str">
        <f t="shared" si="1"/>
        <v>Strain 2|A|008</v>
      </c>
      <c r="AC22" s="6" t="str">
        <f t="shared" si="2"/>
        <v>OK</v>
      </c>
      <c r="AE22" s="6" t="str">
        <f t="shared" si="9"/>
        <v/>
      </c>
      <c r="AF22" s="6" t="str">
        <f t="shared" si="10"/>
        <v/>
      </c>
      <c r="AG22" s="6" t="str">
        <f t="shared" si="3"/>
        <v/>
      </c>
      <c r="AH22" s="6" t="str">
        <f t="shared" si="4"/>
        <v/>
      </c>
      <c r="AJ22" s="6" t="str">
        <f t="shared" si="11"/>
        <v/>
      </c>
      <c r="AK22" s="6" t="str">
        <f t="shared" si="12"/>
        <v/>
      </c>
      <c r="AL22" s="6" t="str">
        <f t="shared" si="5"/>
        <v/>
      </c>
      <c r="AM22" s="6" t="str">
        <f t="shared" si="6"/>
        <v/>
      </c>
    </row>
    <row r="23" spans="1:39">
      <c r="A23" s="5" t="str">
        <f>IF(B23="","",IFERROR(INDEX(Overview!$B$3:$B$62,MATCH(B23,Overview!$V$3:$V$62,0)),""))</f>
        <v/>
      </c>
      <c r="B23" s="113"/>
      <c r="C23" s="113"/>
      <c r="D23" s="113"/>
      <c r="E23" s="4"/>
      <c r="F23" s="5" t="str">
        <f t="shared" si="0"/>
        <v/>
      </c>
      <c r="H23" s="30"/>
      <c r="I23" s="48"/>
      <c r="J23" s="18" t="s">
        <v>140</v>
      </c>
      <c r="K23" s="48">
        <f>IF(OR(Z23="",AA23=""),"",COUNTIFS($Z$3:Z23,Z23,$AA$3:AA23,AA23))</f>
        <v>9</v>
      </c>
      <c r="M23" s="4"/>
      <c r="N23" s="4"/>
      <c r="O23" s="4"/>
      <c r="P23" s="5" t="str">
        <f>IF(OR(AE23="",AF23=""),"",COUNTIFS($AE$3:AE23,AE23,$AF$3:AF23,AF23))</f>
        <v/>
      </c>
      <c r="R23" s="4"/>
      <c r="S23" s="4"/>
      <c r="T23" s="4"/>
      <c r="U23" s="5" t="str">
        <f>IF(OR(AJ23="",AK23=""),"",COUNTIFS($AJ$3:AJ23,AJ23,$AK$3:AK23,AK23))</f>
        <v/>
      </c>
      <c r="Z23" s="6" t="str">
        <f t="shared" si="7"/>
        <v>Strain 2</v>
      </c>
      <c r="AA23" s="6" t="str">
        <f t="shared" si="8"/>
        <v>A</v>
      </c>
      <c r="AB23" s="6" t="str">
        <f t="shared" si="1"/>
        <v>Strain 2|A|009</v>
      </c>
      <c r="AC23" s="6" t="str">
        <f t="shared" si="2"/>
        <v>OK</v>
      </c>
      <c r="AE23" s="6" t="str">
        <f t="shared" si="9"/>
        <v/>
      </c>
      <c r="AF23" s="6" t="str">
        <f t="shared" si="10"/>
        <v/>
      </c>
      <c r="AG23" s="6" t="str">
        <f t="shared" si="3"/>
        <v/>
      </c>
      <c r="AH23" s="6" t="str">
        <f t="shared" si="4"/>
        <v/>
      </c>
      <c r="AJ23" s="6" t="str">
        <f t="shared" si="11"/>
        <v/>
      </c>
      <c r="AK23" s="6" t="str">
        <f t="shared" si="12"/>
        <v/>
      </c>
      <c r="AL23" s="6" t="str">
        <f t="shared" si="5"/>
        <v/>
      </c>
      <c r="AM23" s="6" t="str">
        <f t="shared" si="6"/>
        <v/>
      </c>
    </row>
    <row r="24" spans="1:39">
      <c r="A24" s="5" t="str">
        <f>IF(B24="","",IFERROR(INDEX(Overview!$B$3:$B$62,MATCH(B24,Overview!$V$3:$V$62,0)),""))</f>
        <v/>
      </c>
      <c r="B24" s="113"/>
      <c r="C24" s="113"/>
      <c r="D24" s="113"/>
      <c r="E24" s="4"/>
      <c r="F24" s="5" t="str">
        <f t="shared" si="0"/>
        <v/>
      </c>
      <c r="H24" s="30"/>
      <c r="I24" s="48"/>
      <c r="J24" s="18" t="s">
        <v>141</v>
      </c>
      <c r="K24" s="48">
        <f>IF(OR(Z24="",AA24=""),"",COUNTIFS($Z$3:Z24,Z24,$AA$3:AA24,AA24))</f>
        <v>10</v>
      </c>
      <c r="M24" s="4"/>
      <c r="N24" s="4"/>
      <c r="O24" s="4"/>
      <c r="P24" s="5" t="str">
        <f>IF(OR(AE24="",AF24=""),"",COUNTIFS($AE$3:AE24,AE24,$AF$3:AF24,AF24))</f>
        <v/>
      </c>
      <c r="R24" s="4"/>
      <c r="S24" s="4"/>
      <c r="T24" s="4"/>
      <c r="U24" s="5" t="str">
        <f>IF(OR(AJ24="",AK24=""),"",COUNTIFS($AJ$3:AJ24,AJ24,$AK$3:AK24,AK24))</f>
        <v/>
      </c>
      <c r="Z24" s="6" t="str">
        <f t="shared" ref="Z24:Z30" si="19">IF(J24="","",IF(H24&lt;&gt;"",H24,Z23))</f>
        <v>Strain 2</v>
      </c>
      <c r="AA24" s="6" t="str">
        <f t="shared" ref="AA24:AA30" si="20">IF(J24="","",IF(H24&lt;&gt;"",IF(I24&lt;&gt;"",I24,""),IF(I24&lt;&gt;"",I24,AA23)))</f>
        <v>A</v>
      </c>
      <c r="AB24" s="6" t="str">
        <f t="shared" si="1"/>
        <v>Strain 2|A|010</v>
      </c>
      <c r="AC24" s="6" t="str">
        <f t="shared" ref="AC24:AC30" si="21">IF(J24="","",IF(Z24="","Missing profile",IF(AA24="","Missing Set",IF(COUNTIF($AB$3:$AB$47,AB24)&gt;1,"Duplicate key","OK"))))</f>
        <v>OK</v>
      </c>
      <c r="AE24" s="6" t="str">
        <f t="shared" si="9"/>
        <v/>
      </c>
      <c r="AF24" s="6" t="str">
        <f t="shared" si="10"/>
        <v/>
      </c>
      <c r="AG24" s="6" t="str">
        <f t="shared" si="3"/>
        <v/>
      </c>
      <c r="AH24" s="6" t="str">
        <f t="shared" si="4"/>
        <v/>
      </c>
      <c r="AJ24" s="6" t="str">
        <f t="shared" si="11"/>
        <v/>
      </c>
      <c r="AK24" s="6" t="str">
        <f t="shared" si="12"/>
        <v/>
      </c>
      <c r="AL24" s="6" t="str">
        <f t="shared" si="5"/>
        <v/>
      </c>
      <c r="AM24" s="6" t="str">
        <f t="shared" si="6"/>
        <v/>
      </c>
    </row>
    <row r="25" spans="1:39">
      <c r="A25" s="5" t="str">
        <f>IF(B25="","",IFERROR(INDEX(Overview!$B$3:$B$62,MATCH(B25,Overview!$V$3:$V$62,0)),""))</f>
        <v/>
      </c>
      <c r="B25" s="113"/>
      <c r="C25" s="113"/>
      <c r="D25" s="113"/>
      <c r="E25" s="4"/>
      <c r="F25" s="5" t="str">
        <f t="shared" si="0"/>
        <v/>
      </c>
      <c r="H25" s="30"/>
      <c r="I25" s="49" t="s">
        <v>39</v>
      </c>
      <c r="J25" s="4" t="s">
        <v>107</v>
      </c>
      <c r="K25" s="49">
        <f>IF(OR(Z25="",AA25=""),"",COUNTIFS($Z$3:Z25,Z25,$AA$3:AA25,AA25))</f>
        <v>1</v>
      </c>
      <c r="M25" s="4"/>
      <c r="N25" s="4"/>
      <c r="O25" s="4"/>
      <c r="P25" s="5" t="str">
        <f>IF(OR(AE25="",AF25=""),"",COUNTIFS($AE$3:AE25,AE25,$AF$3:AF25,AF25))</f>
        <v/>
      </c>
      <c r="R25" s="4"/>
      <c r="S25" s="4"/>
      <c r="T25" s="4"/>
      <c r="U25" s="5" t="str">
        <f>IF(OR(AJ25="",AK25=""),"",COUNTIFS($AJ$3:AJ25,AJ25,$AK$3:AK25,AK25))</f>
        <v/>
      </c>
      <c r="Z25" s="6" t="str">
        <f t="shared" si="19"/>
        <v>Strain 2</v>
      </c>
      <c r="AA25" s="6" t="str">
        <f t="shared" si="20"/>
        <v>B</v>
      </c>
      <c r="AB25" s="6" t="str">
        <f t="shared" si="1"/>
        <v>Strain 2|B|001</v>
      </c>
      <c r="AC25" s="6" t="str">
        <f t="shared" si="21"/>
        <v>OK</v>
      </c>
      <c r="AE25" s="6" t="str">
        <f t="shared" si="9"/>
        <v/>
      </c>
      <c r="AF25" s="6" t="str">
        <f t="shared" si="10"/>
        <v/>
      </c>
      <c r="AG25" s="6" t="str">
        <f t="shared" si="3"/>
        <v/>
      </c>
      <c r="AH25" s="6" t="str">
        <f t="shared" si="4"/>
        <v/>
      </c>
      <c r="AJ25" s="6" t="str">
        <f t="shared" si="11"/>
        <v/>
      </c>
      <c r="AK25" s="6" t="str">
        <f t="shared" si="12"/>
        <v/>
      </c>
      <c r="AL25" s="6" t="str">
        <f t="shared" si="5"/>
        <v/>
      </c>
      <c r="AM25" s="6" t="str">
        <f t="shared" si="6"/>
        <v/>
      </c>
    </row>
    <row r="26" spans="1:39">
      <c r="A26" s="5" t="str">
        <f>IF(B26="","",IFERROR(INDEX(Overview!$B$3:$B$62,MATCH(B26,Overview!$V$3:$V$62,0)),""))</f>
        <v/>
      </c>
      <c r="B26" s="113"/>
      <c r="C26" s="113"/>
      <c r="D26" s="113"/>
      <c r="E26" s="4"/>
      <c r="F26" s="5" t="str">
        <f t="shared" si="0"/>
        <v/>
      </c>
      <c r="H26" s="30"/>
      <c r="I26" s="49"/>
      <c r="J26" s="4" t="s">
        <v>108</v>
      </c>
      <c r="K26" s="49">
        <f>IF(OR(Z26="",AA26=""),"",COUNTIFS($Z$3:Z26,Z26,$AA$3:AA26,AA26))</f>
        <v>2</v>
      </c>
      <c r="M26" s="4"/>
      <c r="N26" s="4"/>
      <c r="O26" s="4"/>
      <c r="P26" s="5" t="str">
        <f>IF(OR(AE26="",AF26=""),"",COUNTIFS($AE$3:AE26,AE26,$AF$3:AF26,AF26))</f>
        <v/>
      </c>
      <c r="R26" s="4"/>
      <c r="S26" s="4"/>
      <c r="T26" s="4"/>
      <c r="U26" s="5" t="str">
        <f>IF(OR(AJ26="",AK26=""),"",COUNTIFS($AJ$3:AJ26,AJ26,$AK$3:AK26,AK26))</f>
        <v/>
      </c>
      <c r="Z26" s="6" t="str">
        <f t="shared" si="19"/>
        <v>Strain 2</v>
      </c>
      <c r="AA26" s="6" t="str">
        <f t="shared" si="20"/>
        <v>B</v>
      </c>
      <c r="AB26" s="6" t="str">
        <f t="shared" si="1"/>
        <v>Strain 2|B|002</v>
      </c>
      <c r="AC26" s="6" t="str">
        <f t="shared" si="21"/>
        <v>OK</v>
      </c>
      <c r="AE26" s="6" t="str">
        <f t="shared" si="9"/>
        <v/>
      </c>
      <c r="AF26" s="6" t="str">
        <f t="shared" si="10"/>
        <v/>
      </c>
      <c r="AG26" s="6" t="str">
        <f t="shared" si="3"/>
        <v/>
      </c>
      <c r="AH26" s="6" t="str">
        <f t="shared" si="4"/>
        <v/>
      </c>
      <c r="AJ26" s="6" t="str">
        <f t="shared" si="11"/>
        <v/>
      </c>
      <c r="AK26" s="6" t="str">
        <f t="shared" si="12"/>
        <v/>
      </c>
      <c r="AL26" s="6" t="str">
        <f t="shared" si="5"/>
        <v/>
      </c>
      <c r="AM26" s="6" t="str">
        <f t="shared" si="6"/>
        <v/>
      </c>
    </row>
    <row r="27" spans="1:39">
      <c r="A27" s="5" t="str">
        <f>IF(B27="","",IFERROR(INDEX(Overview!$B$3:$B$62,MATCH(B27,Overview!$V$3:$V$62,0)),""))</f>
        <v/>
      </c>
      <c r="B27" s="113"/>
      <c r="C27" s="113"/>
      <c r="D27" s="113"/>
      <c r="E27" s="4"/>
      <c r="F27" s="5" t="str">
        <f t="shared" si="0"/>
        <v/>
      </c>
      <c r="H27" s="30"/>
      <c r="I27" s="49"/>
      <c r="J27" s="4" t="s">
        <v>125</v>
      </c>
      <c r="K27" s="49">
        <f>IF(OR(Z27="",AA27=""),"",COUNTIFS($Z$3:Z27,Z27,$AA$3:AA27,AA27))</f>
        <v>3</v>
      </c>
      <c r="M27" s="4"/>
      <c r="N27" s="4"/>
      <c r="O27" s="4"/>
      <c r="P27" s="5" t="str">
        <f>IF(OR(AE27="",AF27=""),"",COUNTIFS($AE$3:AE27,AE27,$AF$3:AF27,AF27))</f>
        <v/>
      </c>
      <c r="R27" s="4"/>
      <c r="S27" s="4"/>
      <c r="T27" s="4"/>
      <c r="U27" s="5" t="str">
        <f>IF(OR(AJ27="",AK27=""),"",COUNTIFS($AJ$3:AJ27,AJ27,$AK$3:AK27,AK27))</f>
        <v/>
      </c>
      <c r="Z27" s="6" t="str">
        <f t="shared" si="19"/>
        <v>Strain 2</v>
      </c>
      <c r="AA27" s="6" t="str">
        <f t="shared" si="20"/>
        <v>B</v>
      </c>
      <c r="AB27" s="6" t="str">
        <f t="shared" si="1"/>
        <v>Strain 2|B|003</v>
      </c>
      <c r="AC27" s="6" t="str">
        <f t="shared" si="21"/>
        <v>OK</v>
      </c>
      <c r="AE27" s="6" t="str">
        <f t="shared" si="9"/>
        <v/>
      </c>
      <c r="AF27" s="6" t="str">
        <f t="shared" si="10"/>
        <v/>
      </c>
      <c r="AG27" s="6" t="str">
        <f t="shared" si="3"/>
        <v/>
      </c>
      <c r="AH27" s="6" t="str">
        <f t="shared" si="4"/>
        <v/>
      </c>
      <c r="AJ27" s="6" t="str">
        <f t="shared" si="11"/>
        <v/>
      </c>
      <c r="AK27" s="6" t="str">
        <f t="shared" si="12"/>
        <v/>
      </c>
      <c r="AL27" s="6" t="str">
        <f t="shared" si="5"/>
        <v/>
      </c>
      <c r="AM27" s="6" t="str">
        <f t="shared" si="6"/>
        <v/>
      </c>
    </row>
    <row r="28" spans="1:39">
      <c r="A28" s="5" t="str">
        <f>IF(B28="","",IFERROR(INDEX(Overview!$B$3:$B$62,MATCH(B28,Overview!$V$3:$V$62,0)),""))</f>
        <v/>
      </c>
      <c r="B28" s="113"/>
      <c r="C28" s="113"/>
      <c r="D28" s="113"/>
      <c r="E28" s="4"/>
      <c r="F28" s="5" t="str">
        <f t="shared" si="0"/>
        <v/>
      </c>
      <c r="H28" s="30"/>
      <c r="I28" s="49"/>
      <c r="J28" s="4" t="s">
        <v>126</v>
      </c>
      <c r="K28" s="49">
        <f>IF(OR(Z28="",AA28=""),"",COUNTIFS($Z$3:Z28,Z28,$AA$3:AA28,AA28))</f>
        <v>4</v>
      </c>
      <c r="M28" s="4"/>
      <c r="N28" s="4"/>
      <c r="O28" s="4"/>
      <c r="P28" s="5" t="str">
        <f>IF(OR(AE28="",AF28=""),"",COUNTIFS($AE$3:AE28,AE28,$AF$3:AF28,AF28))</f>
        <v/>
      </c>
      <c r="R28" s="4"/>
      <c r="S28" s="4"/>
      <c r="T28" s="4"/>
      <c r="U28" s="5" t="str">
        <f>IF(OR(AJ28="",AK28=""),"",COUNTIFS($AJ$3:AJ28,AJ28,$AK$3:AK28,AK28))</f>
        <v/>
      </c>
      <c r="Z28" s="6" t="str">
        <f t="shared" si="19"/>
        <v>Strain 2</v>
      </c>
      <c r="AA28" s="6" t="str">
        <f t="shared" si="20"/>
        <v>B</v>
      </c>
      <c r="AB28" s="6" t="str">
        <f t="shared" si="1"/>
        <v>Strain 2|B|004</v>
      </c>
      <c r="AC28" s="6" t="str">
        <f t="shared" si="21"/>
        <v>OK</v>
      </c>
      <c r="AE28" s="6" t="str">
        <f t="shared" si="9"/>
        <v/>
      </c>
      <c r="AF28" s="6" t="str">
        <f t="shared" si="10"/>
        <v/>
      </c>
      <c r="AG28" s="6" t="str">
        <f t="shared" si="3"/>
        <v/>
      </c>
      <c r="AH28" s="6" t="str">
        <f t="shared" si="4"/>
        <v/>
      </c>
      <c r="AJ28" s="6" t="str">
        <f t="shared" si="11"/>
        <v/>
      </c>
      <c r="AK28" s="6" t="str">
        <f t="shared" si="12"/>
        <v/>
      </c>
      <c r="AL28" s="6" t="str">
        <f t="shared" si="5"/>
        <v/>
      </c>
      <c r="AM28" s="6" t="str">
        <f t="shared" si="6"/>
        <v/>
      </c>
    </row>
    <row r="29" spans="1:39">
      <c r="A29" s="5" t="str">
        <f>IF(B29="","",IFERROR(INDEX(Overview!$B$3:$B$62,MATCH(B29,Overview!$V$3:$V$62,0)),""))</f>
        <v/>
      </c>
      <c r="B29" s="113"/>
      <c r="C29" s="113"/>
      <c r="D29" s="113"/>
      <c r="E29" s="4"/>
      <c r="F29" s="5" t="str">
        <f t="shared" si="0"/>
        <v/>
      </c>
      <c r="H29" s="30"/>
      <c r="I29" s="49"/>
      <c r="J29" s="4" t="s">
        <v>142</v>
      </c>
      <c r="K29" s="49">
        <f>IF(OR(Z29="",AA29=""),"",COUNTIFS($Z$3:Z29,Z29,$AA$3:AA29,AA29))</f>
        <v>5</v>
      </c>
      <c r="M29" s="4"/>
      <c r="N29" s="4"/>
      <c r="O29" s="4"/>
      <c r="P29" s="5" t="str">
        <f>IF(OR(AE29="",AF29=""),"",COUNTIFS($AE$3:AE29,AE29,$AF$3:AF29,AF29))</f>
        <v/>
      </c>
      <c r="R29" s="4"/>
      <c r="S29" s="4"/>
      <c r="T29" s="4"/>
      <c r="U29" s="5" t="str">
        <f>IF(OR(AJ29="",AK29=""),"",COUNTIFS($AJ$3:AJ29,AJ29,$AK$3:AK29,AK29))</f>
        <v/>
      </c>
      <c r="Z29" s="6" t="str">
        <f t="shared" si="19"/>
        <v>Strain 2</v>
      </c>
      <c r="AA29" s="6" t="str">
        <f t="shared" si="20"/>
        <v>B</v>
      </c>
      <c r="AB29" s="6" t="str">
        <f t="shared" si="1"/>
        <v>Strain 2|B|005</v>
      </c>
      <c r="AC29" s="6" t="str">
        <f t="shared" si="21"/>
        <v>OK</v>
      </c>
      <c r="AE29" s="6" t="str">
        <f t="shared" si="9"/>
        <v/>
      </c>
      <c r="AF29" s="6" t="str">
        <f t="shared" si="10"/>
        <v/>
      </c>
      <c r="AG29" s="6" t="str">
        <f t="shared" si="3"/>
        <v/>
      </c>
      <c r="AH29" s="6" t="str">
        <f t="shared" si="4"/>
        <v/>
      </c>
      <c r="AJ29" s="6" t="str">
        <f t="shared" si="11"/>
        <v/>
      </c>
      <c r="AK29" s="6" t="str">
        <f t="shared" si="12"/>
        <v/>
      </c>
      <c r="AL29" s="6" t="str">
        <f t="shared" si="5"/>
        <v/>
      </c>
      <c r="AM29" s="6" t="str">
        <f t="shared" si="6"/>
        <v/>
      </c>
    </row>
    <row r="30" spans="1:39">
      <c r="A30" s="5" t="str">
        <f>IF(B30="","",IFERROR(INDEX(Overview!$B$3:$B$62,MATCH(B30,Overview!$V$3:$V$62,0)),""))</f>
        <v/>
      </c>
      <c r="B30" s="113"/>
      <c r="C30" s="113"/>
      <c r="D30" s="113"/>
      <c r="E30" s="4"/>
      <c r="F30" s="5" t="str">
        <f t="shared" si="0"/>
        <v/>
      </c>
      <c r="H30" s="30"/>
      <c r="I30" s="49"/>
      <c r="J30" s="4" t="s">
        <v>143</v>
      </c>
      <c r="K30" s="49">
        <f>IF(OR(Z30="",AA30=""),"",COUNTIFS($Z$3:Z30,Z30,$AA$3:AA30,AA30))</f>
        <v>6</v>
      </c>
      <c r="M30" s="4"/>
      <c r="N30" s="4"/>
      <c r="O30" s="4"/>
      <c r="P30" s="5" t="str">
        <f>IF(OR(AE30="",AF30=""),"",COUNTIFS($AE$3:AE30,AE30,$AF$3:AF30,AF30))</f>
        <v/>
      </c>
      <c r="R30" s="4"/>
      <c r="S30" s="4"/>
      <c r="T30" s="4"/>
      <c r="U30" s="5" t="str">
        <f>IF(OR(AJ30="",AK30=""),"",COUNTIFS($AJ$3:AJ30,AJ30,$AK$3:AK30,AK30))</f>
        <v/>
      </c>
      <c r="Z30" s="6" t="str">
        <f t="shared" si="19"/>
        <v>Strain 2</v>
      </c>
      <c r="AA30" s="6" t="str">
        <f t="shared" si="20"/>
        <v>B</v>
      </c>
      <c r="AB30" s="6" t="str">
        <f t="shared" si="1"/>
        <v>Strain 2|B|006</v>
      </c>
      <c r="AC30" s="6" t="str">
        <f t="shared" si="21"/>
        <v>OK</v>
      </c>
      <c r="AE30" s="6" t="str">
        <f t="shared" si="9"/>
        <v/>
      </c>
      <c r="AF30" s="6" t="str">
        <f t="shared" si="10"/>
        <v/>
      </c>
      <c r="AG30" s="6" t="str">
        <f t="shared" si="3"/>
        <v/>
      </c>
      <c r="AH30" s="6" t="str">
        <f t="shared" si="4"/>
        <v/>
      </c>
      <c r="AJ30" s="6" t="str">
        <f t="shared" si="11"/>
        <v/>
      </c>
      <c r="AK30" s="6" t="str">
        <f t="shared" si="12"/>
        <v/>
      </c>
      <c r="AL30" s="6" t="str">
        <f t="shared" si="5"/>
        <v/>
      </c>
      <c r="AM30" s="6" t="str">
        <f t="shared" si="6"/>
        <v/>
      </c>
    </row>
    <row r="31" spans="1:39">
      <c r="A31" s="5" t="str">
        <f>IF(B31="","",IFERROR(INDEX(Overview!$B$3:$B$62,MATCH(B31,Overview!$V$3:$V$62,0)),""))</f>
        <v/>
      </c>
      <c r="B31" s="113"/>
      <c r="C31" s="113"/>
      <c r="D31" s="113"/>
      <c r="E31" s="4"/>
      <c r="F31" s="5" t="str">
        <f t="shared" si="0"/>
        <v/>
      </c>
      <c r="H31" s="30"/>
      <c r="I31" s="49"/>
      <c r="J31" s="4" t="s">
        <v>144</v>
      </c>
      <c r="K31" s="49">
        <f>IF(OR(Z31="",AA31=""),"",COUNTIFS($Z$3:Z31,Z31,$AA$3:AA31,AA31))</f>
        <v>7</v>
      </c>
      <c r="M31" s="4"/>
      <c r="N31" s="4"/>
      <c r="O31" s="4"/>
      <c r="P31" s="5" t="str">
        <f>IF(OR(AE31="",AF31=""),"",COUNTIFS($AE$3:AE31,AE31,$AF$3:AF31,AF31))</f>
        <v/>
      </c>
      <c r="R31" s="4"/>
      <c r="S31" s="4"/>
      <c r="T31" s="4"/>
      <c r="U31" s="5" t="str">
        <f>IF(OR(AJ31="",AK31=""),"",COUNTIFS($AJ$3:AJ31,AJ31,$AK$3:AK31,AK31))</f>
        <v/>
      </c>
      <c r="Z31" s="6" t="str">
        <f t="shared" si="7"/>
        <v>Strain 2</v>
      </c>
      <c r="AA31" s="6" t="str">
        <f t="shared" si="8"/>
        <v>B</v>
      </c>
      <c r="AB31" s="6" t="str">
        <f t="shared" si="1"/>
        <v>Strain 2|B|007</v>
      </c>
      <c r="AC31" s="6" t="str">
        <f t="shared" si="2"/>
        <v>OK</v>
      </c>
      <c r="AE31" s="6" t="str">
        <f t="shared" si="9"/>
        <v/>
      </c>
      <c r="AF31" s="6" t="str">
        <f t="shared" si="10"/>
        <v/>
      </c>
      <c r="AG31" s="6" t="str">
        <f t="shared" si="3"/>
        <v/>
      </c>
      <c r="AH31" s="6" t="str">
        <f t="shared" si="4"/>
        <v/>
      </c>
      <c r="AJ31" s="6" t="str">
        <f t="shared" si="11"/>
        <v/>
      </c>
      <c r="AK31" s="6" t="str">
        <f t="shared" si="12"/>
        <v/>
      </c>
      <c r="AL31" s="6" t="str">
        <f t="shared" si="5"/>
        <v/>
      </c>
      <c r="AM31" s="6" t="str">
        <f t="shared" si="6"/>
        <v/>
      </c>
    </row>
    <row r="32" spans="1:39">
      <c r="A32" s="5" t="str">
        <f>IF(B32="","",IFERROR(INDEX(Overview!$B$3:$B$62,MATCH(B32,Overview!$V$3:$V$62,0)),""))</f>
        <v/>
      </c>
      <c r="B32" s="113"/>
      <c r="C32" s="113"/>
      <c r="D32" s="113"/>
      <c r="E32" s="4"/>
      <c r="F32" s="5" t="str">
        <f t="shared" si="0"/>
        <v/>
      </c>
      <c r="H32" s="30"/>
      <c r="I32" s="49"/>
      <c r="J32" s="4" t="s">
        <v>145</v>
      </c>
      <c r="K32" s="49">
        <f>IF(OR(Z32="",AA32=""),"",COUNTIFS($Z$3:Z32,Z32,$AA$3:AA32,AA32))</f>
        <v>8</v>
      </c>
      <c r="M32" s="4"/>
      <c r="N32" s="4"/>
      <c r="O32" s="4"/>
      <c r="P32" s="5" t="str">
        <f>IF(OR(AE32="",AF32=""),"",COUNTIFS($AE$3:AE32,AE32,$AF$3:AF32,AF32))</f>
        <v/>
      </c>
      <c r="R32" s="4"/>
      <c r="S32" s="4"/>
      <c r="T32" s="4"/>
      <c r="U32" s="5" t="str">
        <f>IF(OR(AJ32="",AK32=""),"",COUNTIFS($AJ$3:AJ32,AJ32,$AK$3:AK32,AK32))</f>
        <v/>
      </c>
      <c r="Z32" s="6" t="str">
        <f t="shared" si="7"/>
        <v>Strain 2</v>
      </c>
      <c r="AA32" s="6" t="str">
        <f t="shared" si="8"/>
        <v>B</v>
      </c>
      <c r="AB32" s="6" t="str">
        <f t="shared" si="1"/>
        <v>Strain 2|B|008</v>
      </c>
      <c r="AC32" s="6" t="str">
        <f t="shared" si="2"/>
        <v>OK</v>
      </c>
      <c r="AE32" s="6" t="str">
        <f t="shared" si="9"/>
        <v/>
      </c>
      <c r="AF32" s="6" t="str">
        <f t="shared" si="10"/>
        <v/>
      </c>
      <c r="AG32" s="6" t="str">
        <f t="shared" si="3"/>
        <v/>
      </c>
      <c r="AH32" s="6" t="str">
        <f t="shared" si="4"/>
        <v/>
      </c>
      <c r="AJ32" s="6" t="str">
        <f t="shared" si="11"/>
        <v/>
      </c>
      <c r="AK32" s="6" t="str">
        <f t="shared" si="12"/>
        <v/>
      </c>
      <c r="AL32" s="6" t="str">
        <f t="shared" si="5"/>
        <v/>
      </c>
      <c r="AM32" s="6" t="str">
        <f t="shared" si="6"/>
        <v/>
      </c>
    </row>
    <row r="33" spans="1:39">
      <c r="A33" s="5" t="str">
        <f>IF(B33="","",IFERROR(INDEX(Overview!$B$3:$B$62,MATCH(B33,Overview!$V$3:$V$62,0)),""))</f>
        <v/>
      </c>
      <c r="B33" s="113"/>
      <c r="C33" s="113"/>
      <c r="D33" s="113"/>
      <c r="E33" s="4"/>
      <c r="F33" s="5" t="str">
        <f t="shared" si="0"/>
        <v/>
      </c>
      <c r="H33" s="30"/>
      <c r="I33" s="49"/>
      <c r="J33" s="4" t="s">
        <v>146</v>
      </c>
      <c r="K33" s="49">
        <f>IF(OR(Z33="",AA33=""),"",COUNTIFS($Z$3:Z33,Z33,$AA$3:AA33,AA33))</f>
        <v>9</v>
      </c>
      <c r="M33" s="4"/>
      <c r="N33" s="4"/>
      <c r="O33" s="4"/>
      <c r="P33" s="5" t="str">
        <f>IF(OR(AE33="",AF33=""),"",COUNTIFS($AE$3:AE33,AE33,$AF$3:AF33,AF33))</f>
        <v/>
      </c>
      <c r="R33" s="4"/>
      <c r="S33" s="4"/>
      <c r="T33" s="4"/>
      <c r="U33" s="5" t="str">
        <f>IF(OR(AJ33="",AK33=""),"",COUNTIFS($AJ$3:AJ33,AJ33,$AK$3:AK33,AK33))</f>
        <v/>
      </c>
      <c r="Z33" s="6" t="str">
        <f t="shared" si="7"/>
        <v>Strain 2</v>
      </c>
      <c r="AA33" s="6" t="str">
        <f t="shared" si="8"/>
        <v>B</v>
      </c>
      <c r="AB33" s="6" t="str">
        <f t="shared" si="1"/>
        <v>Strain 2|B|009</v>
      </c>
      <c r="AC33" s="6" t="str">
        <f t="shared" si="2"/>
        <v>OK</v>
      </c>
      <c r="AE33" s="6" t="str">
        <f t="shared" si="9"/>
        <v/>
      </c>
      <c r="AF33" s="6" t="str">
        <f t="shared" si="10"/>
        <v/>
      </c>
      <c r="AG33" s="6" t="str">
        <f t="shared" si="3"/>
        <v/>
      </c>
      <c r="AH33" s="6" t="str">
        <f t="shared" si="4"/>
        <v/>
      </c>
      <c r="AJ33" s="6" t="str">
        <f t="shared" si="11"/>
        <v/>
      </c>
      <c r="AK33" s="6" t="str">
        <f t="shared" si="12"/>
        <v/>
      </c>
      <c r="AL33" s="6" t="str">
        <f t="shared" si="5"/>
        <v/>
      </c>
      <c r="AM33" s="6" t="str">
        <f t="shared" si="6"/>
        <v/>
      </c>
    </row>
    <row r="34" spans="1:39">
      <c r="A34" s="5" t="str">
        <f>IF(B34="","",IFERROR(INDEX(Overview!$B$3:$B$62,MATCH(B34,Overview!$V$3:$V$62,0)),""))</f>
        <v/>
      </c>
      <c r="B34" s="113"/>
      <c r="C34" s="113"/>
      <c r="D34" s="113"/>
      <c r="E34" s="4"/>
      <c r="F34" s="5" t="str">
        <f t="shared" si="0"/>
        <v/>
      </c>
      <c r="H34" s="30"/>
      <c r="I34" s="49"/>
      <c r="J34" s="4" t="s">
        <v>147</v>
      </c>
      <c r="K34" s="49">
        <f>IF(OR(Z34="",AA34=""),"",COUNTIFS($Z$3:Z34,Z34,$AA$3:AA34,AA34))</f>
        <v>10</v>
      </c>
      <c r="M34" s="4"/>
      <c r="N34" s="4"/>
      <c r="O34" s="4"/>
      <c r="P34" s="5" t="str">
        <f>IF(OR(AE34="",AF34=""),"",COUNTIFS($AE$3:AE34,AE34,$AF$3:AF34,AF34))</f>
        <v/>
      </c>
      <c r="R34" s="4"/>
      <c r="S34" s="4"/>
      <c r="T34" s="4"/>
      <c r="U34" s="5" t="str">
        <f>IF(OR(AJ34="",AK34=""),"",COUNTIFS($AJ$3:AJ34,AJ34,$AK$3:AK34,AK34))</f>
        <v/>
      </c>
      <c r="Z34" s="6" t="str">
        <f t="shared" si="7"/>
        <v>Strain 2</v>
      </c>
      <c r="AA34" s="6" t="str">
        <f t="shared" si="8"/>
        <v>B</v>
      </c>
      <c r="AB34" s="6" t="str">
        <f t="shared" si="1"/>
        <v>Strain 2|B|010</v>
      </c>
      <c r="AC34" s="6" t="str">
        <f t="shared" si="2"/>
        <v>OK</v>
      </c>
      <c r="AE34" s="6" t="str">
        <f t="shared" si="9"/>
        <v/>
      </c>
      <c r="AF34" s="6" t="str">
        <f t="shared" si="10"/>
        <v/>
      </c>
      <c r="AG34" s="6" t="str">
        <f t="shared" si="3"/>
        <v/>
      </c>
      <c r="AH34" s="6" t="str">
        <f t="shared" si="4"/>
        <v/>
      </c>
      <c r="AJ34" s="6" t="str">
        <f t="shared" si="11"/>
        <v/>
      </c>
      <c r="AK34" s="6" t="str">
        <f t="shared" si="12"/>
        <v/>
      </c>
      <c r="AL34" s="6" t="str">
        <f t="shared" si="5"/>
        <v/>
      </c>
      <c r="AM34" s="6" t="str">
        <f t="shared" si="6"/>
        <v/>
      </c>
    </row>
    <row r="35" spans="1:39">
      <c r="A35" s="5" t="str">
        <f>IF(B35="","",IFERROR(INDEX(Overview!$B$3:$B$62,MATCH(B35,Overview!$V$3:$V$62,0)),""))</f>
        <v/>
      </c>
      <c r="B35" s="113"/>
      <c r="C35" s="113"/>
      <c r="D35" s="113"/>
      <c r="E35" s="4"/>
      <c r="F35" s="5" t="str">
        <f t="shared" si="0"/>
        <v/>
      </c>
      <c r="H35" s="4"/>
      <c r="I35" s="4"/>
      <c r="J35" s="4"/>
      <c r="K35" s="5" t="str">
        <f>IF(OR(Z35="",AA35=""),"",COUNTIFS($Z$3:Z35,Z35,$AA$3:AA35,AA35))</f>
        <v/>
      </c>
      <c r="M35" s="4"/>
      <c r="N35" s="4"/>
      <c r="O35" s="4"/>
      <c r="P35" s="5" t="str">
        <f>IF(OR(AE35="",AF35=""),"",COUNTIFS($AE$3:AE35,AE35,$AF$3:AF35,AF35))</f>
        <v/>
      </c>
      <c r="R35" s="4"/>
      <c r="S35" s="4"/>
      <c r="T35" s="4"/>
      <c r="U35" s="5" t="str">
        <f>IF(OR(AJ35="",AK35=""),"",COUNTIFS($AJ$3:AJ35,AJ35,$AK$3:AK35,AK35))</f>
        <v/>
      </c>
      <c r="Z35" s="6" t="str">
        <f t="shared" si="7"/>
        <v/>
      </c>
      <c r="AA35" s="6" t="str">
        <f t="shared" si="8"/>
        <v/>
      </c>
      <c r="AB35" s="6" t="str">
        <f t="shared" si="1"/>
        <v/>
      </c>
      <c r="AC35" s="6" t="str">
        <f t="shared" si="2"/>
        <v/>
      </c>
      <c r="AE35" s="6" t="str">
        <f t="shared" si="9"/>
        <v/>
      </c>
      <c r="AF35" s="6" t="str">
        <f t="shared" si="10"/>
        <v/>
      </c>
      <c r="AG35" s="6" t="str">
        <f t="shared" si="3"/>
        <v/>
      </c>
      <c r="AH35" s="6" t="str">
        <f t="shared" si="4"/>
        <v/>
      </c>
      <c r="AJ35" s="6" t="str">
        <f t="shared" si="11"/>
        <v/>
      </c>
      <c r="AK35" s="6" t="str">
        <f t="shared" si="12"/>
        <v/>
      </c>
      <c r="AL35" s="6" t="str">
        <f t="shared" si="5"/>
        <v/>
      </c>
      <c r="AM35" s="6" t="str">
        <f t="shared" si="6"/>
        <v/>
      </c>
    </row>
    <row r="36" spans="1:39">
      <c r="A36" s="5" t="str">
        <f>IF(B36="","",IFERROR(INDEX(Overview!$B$3:$B$62,MATCH(B36,Overview!$V$3:$V$62,0)),""))</f>
        <v/>
      </c>
      <c r="B36" s="113"/>
      <c r="C36" s="113"/>
      <c r="D36" s="113"/>
      <c r="E36" s="4"/>
      <c r="F36" s="5" t="str">
        <f t="shared" si="0"/>
        <v/>
      </c>
      <c r="H36" s="4"/>
      <c r="I36" s="4"/>
      <c r="J36" s="4"/>
      <c r="K36" s="5" t="str">
        <f>IF(OR(Z36="",AA36=""),"",COUNTIFS($Z$3:Z36,Z36,$AA$3:AA36,AA36))</f>
        <v/>
      </c>
      <c r="M36" s="4"/>
      <c r="N36" s="4"/>
      <c r="O36" s="4"/>
      <c r="P36" s="5" t="str">
        <f>IF(OR(AE36="",AF36=""),"",COUNTIFS($AE$3:AE36,AE36,$AF$3:AF36,AF36))</f>
        <v/>
      </c>
      <c r="R36" s="4"/>
      <c r="S36" s="4"/>
      <c r="T36" s="4"/>
      <c r="U36" s="5" t="str">
        <f>IF(OR(AJ36="",AK36=""),"",COUNTIFS($AJ$3:AJ36,AJ36,$AK$3:AK36,AK36))</f>
        <v/>
      </c>
      <c r="Z36" s="6" t="str">
        <f t="shared" si="7"/>
        <v/>
      </c>
      <c r="AA36" s="6" t="str">
        <f t="shared" si="8"/>
        <v/>
      </c>
      <c r="AB36" s="6" t="str">
        <f t="shared" si="1"/>
        <v/>
      </c>
      <c r="AC36" s="6" t="str">
        <f t="shared" si="2"/>
        <v/>
      </c>
      <c r="AE36" s="6" t="str">
        <f t="shared" si="9"/>
        <v/>
      </c>
      <c r="AF36" s="6" t="str">
        <f t="shared" si="10"/>
        <v/>
      </c>
      <c r="AG36" s="6" t="str">
        <f t="shared" si="3"/>
        <v/>
      </c>
      <c r="AH36" s="6" t="str">
        <f t="shared" si="4"/>
        <v/>
      </c>
      <c r="AJ36" s="6" t="str">
        <f t="shared" si="11"/>
        <v/>
      </c>
      <c r="AK36" s="6" t="str">
        <f t="shared" si="12"/>
        <v/>
      </c>
      <c r="AL36" s="6" t="str">
        <f t="shared" si="5"/>
        <v/>
      </c>
      <c r="AM36" s="6" t="str">
        <f t="shared" si="6"/>
        <v/>
      </c>
    </row>
    <row r="37" spans="1:39">
      <c r="A37" s="5" t="str">
        <f>IF(B37="","",IFERROR(INDEX(Overview!$B$3:$B$62,MATCH(B37,Overview!$V$3:$V$62,0)),""))</f>
        <v/>
      </c>
      <c r="B37" s="113"/>
      <c r="C37" s="113"/>
      <c r="D37" s="113"/>
      <c r="E37" s="4"/>
      <c r="F37" s="5" t="str">
        <f t="shared" si="0"/>
        <v/>
      </c>
      <c r="H37" s="4"/>
      <c r="I37" s="4"/>
      <c r="J37" s="4"/>
      <c r="K37" s="5" t="str">
        <f>IF(OR(Z37="",AA37=""),"",COUNTIFS($Z$3:Z37,Z37,$AA$3:AA37,AA37))</f>
        <v/>
      </c>
      <c r="M37" s="4"/>
      <c r="N37" s="4"/>
      <c r="O37" s="4"/>
      <c r="P37" s="5" t="str">
        <f>IF(OR(AE37="",AF37=""),"",COUNTIFS($AE$3:AE37,AE37,$AF$3:AF37,AF37))</f>
        <v/>
      </c>
      <c r="R37" s="4"/>
      <c r="S37" s="4"/>
      <c r="T37" s="4"/>
      <c r="U37" s="5" t="str">
        <f>IF(OR(AJ37="",AK37=""),"",COUNTIFS($AJ$3:AJ37,AJ37,$AK$3:AK37,AK37))</f>
        <v/>
      </c>
      <c r="Z37" s="6" t="str">
        <f t="shared" si="7"/>
        <v/>
      </c>
      <c r="AA37" s="6" t="str">
        <f t="shared" si="8"/>
        <v/>
      </c>
      <c r="AB37" s="6" t="str">
        <f t="shared" si="1"/>
        <v/>
      </c>
      <c r="AC37" s="6" t="str">
        <f t="shared" si="2"/>
        <v/>
      </c>
      <c r="AE37" s="6" t="str">
        <f t="shared" si="9"/>
        <v/>
      </c>
      <c r="AF37" s="6" t="str">
        <f t="shared" si="10"/>
        <v/>
      </c>
      <c r="AG37" s="6" t="str">
        <f t="shared" si="3"/>
        <v/>
      </c>
      <c r="AH37" s="6" t="str">
        <f t="shared" si="4"/>
        <v/>
      </c>
      <c r="AJ37" s="6" t="str">
        <f t="shared" si="11"/>
        <v/>
      </c>
      <c r="AK37" s="6" t="str">
        <f t="shared" si="12"/>
        <v/>
      </c>
      <c r="AL37" s="6" t="str">
        <f t="shared" si="5"/>
        <v/>
      </c>
      <c r="AM37" s="6" t="str">
        <f t="shared" si="6"/>
        <v/>
      </c>
    </row>
    <row r="38" spans="1:39">
      <c r="A38" s="5" t="str">
        <f>IF(B38="","",IFERROR(INDEX(Overview!$B$3:$B$62,MATCH(B38,Overview!$V$3:$V$62,0)),""))</f>
        <v/>
      </c>
      <c r="B38" s="113"/>
      <c r="C38" s="113"/>
      <c r="D38" s="113"/>
      <c r="E38" s="4"/>
      <c r="F38" s="5" t="str">
        <f t="shared" si="0"/>
        <v/>
      </c>
      <c r="H38" s="4"/>
      <c r="I38" s="4"/>
      <c r="J38" s="4"/>
      <c r="K38" s="5" t="str">
        <f>IF(OR(Z38="",AA38=""),"",COUNTIFS($Z$3:Z38,Z38,$AA$3:AA38,AA38))</f>
        <v/>
      </c>
      <c r="M38" s="4"/>
      <c r="N38" s="4"/>
      <c r="O38" s="4"/>
      <c r="P38" s="5" t="str">
        <f>IF(OR(AE38="",AF38=""),"",COUNTIFS($AE$3:AE38,AE38,$AF$3:AF38,AF38))</f>
        <v/>
      </c>
      <c r="R38" s="4"/>
      <c r="S38" s="4"/>
      <c r="T38" s="4"/>
      <c r="U38" s="5" t="str">
        <f>IF(OR(AJ38="",AK38=""),"",COUNTIFS($AJ$3:AJ38,AJ38,$AK$3:AK38,AK38))</f>
        <v/>
      </c>
      <c r="Z38" s="6" t="str">
        <f t="shared" si="7"/>
        <v/>
      </c>
      <c r="AA38" s="6" t="str">
        <f t="shared" si="8"/>
        <v/>
      </c>
      <c r="AB38" s="6" t="str">
        <f t="shared" si="1"/>
        <v/>
      </c>
      <c r="AC38" s="6" t="str">
        <f t="shared" si="2"/>
        <v/>
      </c>
      <c r="AE38" s="6" t="str">
        <f t="shared" si="9"/>
        <v/>
      </c>
      <c r="AF38" s="6" t="str">
        <f t="shared" si="10"/>
        <v/>
      </c>
      <c r="AG38" s="6" t="str">
        <f t="shared" si="3"/>
        <v/>
      </c>
      <c r="AH38" s="6" t="str">
        <f t="shared" si="4"/>
        <v/>
      </c>
      <c r="AJ38" s="6" t="str">
        <f t="shared" si="11"/>
        <v/>
      </c>
      <c r="AK38" s="6" t="str">
        <f t="shared" si="12"/>
        <v/>
      </c>
      <c r="AL38" s="6" t="str">
        <f t="shared" si="5"/>
        <v/>
      </c>
      <c r="AM38" s="6" t="str">
        <f t="shared" si="6"/>
        <v/>
      </c>
    </row>
    <row r="39" spans="1:39">
      <c r="A39" s="5" t="str">
        <f>IF(B39="","",IFERROR(INDEX(Overview!$B$3:$B$62,MATCH(B39,Overview!$V$3:$V$62,0)),""))</f>
        <v/>
      </c>
      <c r="B39" s="113"/>
      <c r="C39" s="113"/>
      <c r="D39" s="113"/>
      <c r="E39" s="4"/>
      <c r="F39" s="5" t="str">
        <f t="shared" si="0"/>
        <v/>
      </c>
      <c r="H39" s="4"/>
      <c r="I39" s="4"/>
      <c r="J39" s="4"/>
      <c r="K39" s="5" t="str">
        <f>IF(OR(Z39="",AA39=""),"",COUNTIFS($Z$3:Z39,Z39,$AA$3:AA39,AA39))</f>
        <v/>
      </c>
      <c r="M39" s="4"/>
      <c r="N39" s="4"/>
      <c r="O39" s="4"/>
      <c r="P39" s="5" t="str">
        <f>IF(OR(AE39="",AF39=""),"",COUNTIFS($AE$3:AE39,AE39,$AF$3:AF39,AF39))</f>
        <v/>
      </c>
      <c r="R39" s="4"/>
      <c r="S39" s="4"/>
      <c r="T39" s="4"/>
      <c r="U39" s="5" t="str">
        <f>IF(OR(AJ39="",AK39=""),"",COUNTIFS($AJ$3:AJ39,AJ39,$AK$3:AK39,AK39))</f>
        <v/>
      </c>
      <c r="Z39" s="6" t="str">
        <f t="shared" si="7"/>
        <v/>
      </c>
      <c r="AA39" s="6" t="str">
        <f t="shared" si="8"/>
        <v/>
      </c>
      <c r="AB39" s="6" t="str">
        <f t="shared" si="1"/>
        <v/>
      </c>
      <c r="AC39" s="6" t="str">
        <f t="shared" si="2"/>
        <v/>
      </c>
      <c r="AE39" s="6" t="str">
        <f t="shared" si="9"/>
        <v/>
      </c>
      <c r="AF39" s="6" t="str">
        <f t="shared" si="10"/>
        <v/>
      </c>
      <c r="AG39" s="6" t="str">
        <f t="shared" si="3"/>
        <v/>
      </c>
      <c r="AH39" s="6" t="str">
        <f t="shared" si="4"/>
        <v/>
      </c>
      <c r="AJ39" s="6" t="str">
        <f t="shared" si="11"/>
        <v/>
      </c>
      <c r="AK39" s="6" t="str">
        <f t="shared" si="12"/>
        <v/>
      </c>
      <c r="AL39" s="6" t="str">
        <f t="shared" si="5"/>
        <v/>
      </c>
      <c r="AM39" s="6" t="str">
        <f t="shared" si="6"/>
        <v/>
      </c>
    </row>
    <row r="40" spans="1:39">
      <c r="A40" s="5" t="str">
        <f>IF(B40="","",IFERROR(INDEX(Overview!$B$3:$B$62,MATCH(B40,Overview!$V$3:$V$62,0)),""))</f>
        <v/>
      </c>
      <c r="B40" s="113"/>
      <c r="C40" s="113"/>
      <c r="D40" s="113"/>
      <c r="E40" s="4"/>
      <c r="F40" s="5" t="str">
        <f t="shared" si="0"/>
        <v/>
      </c>
      <c r="H40" s="4"/>
      <c r="I40" s="4"/>
      <c r="J40" s="4"/>
      <c r="K40" s="5" t="str">
        <f>IF(OR(Z40="",AA40=""),"",COUNTIFS($Z$3:Z40,Z40,$AA$3:AA40,AA40))</f>
        <v/>
      </c>
      <c r="M40" s="4"/>
      <c r="N40" s="4"/>
      <c r="O40" s="4"/>
      <c r="P40" s="5" t="str">
        <f>IF(OR(AE40="",AF40=""),"",COUNTIFS($AE$3:AE40,AE40,$AF$3:AF40,AF40))</f>
        <v/>
      </c>
      <c r="R40" s="4"/>
      <c r="S40" s="4"/>
      <c r="T40" s="4"/>
      <c r="U40" s="5" t="str">
        <f>IF(OR(AJ40="",AK40=""),"",COUNTIFS($AJ$3:AJ40,AJ40,$AK$3:AK40,AK40))</f>
        <v/>
      </c>
      <c r="Z40" s="6" t="str">
        <f t="shared" si="7"/>
        <v/>
      </c>
      <c r="AA40" s="6" t="str">
        <f t="shared" si="8"/>
        <v/>
      </c>
      <c r="AB40" s="6" t="str">
        <f t="shared" si="1"/>
        <v/>
      </c>
      <c r="AC40" s="6" t="str">
        <f t="shared" si="2"/>
        <v/>
      </c>
      <c r="AE40" s="6" t="str">
        <f t="shared" si="9"/>
        <v/>
      </c>
      <c r="AF40" s="6" t="str">
        <f t="shared" si="10"/>
        <v/>
      </c>
      <c r="AG40" s="6" t="str">
        <f t="shared" si="3"/>
        <v/>
      </c>
      <c r="AH40" s="6" t="str">
        <f t="shared" si="4"/>
        <v/>
      </c>
      <c r="AJ40" s="6" t="str">
        <f t="shared" si="11"/>
        <v/>
      </c>
      <c r="AK40" s="6" t="str">
        <f t="shared" si="12"/>
        <v/>
      </c>
      <c r="AL40" s="6" t="str">
        <f t="shared" si="5"/>
        <v/>
      </c>
      <c r="AM40" s="6" t="str">
        <f t="shared" si="6"/>
        <v/>
      </c>
    </row>
    <row r="41" spans="1:39">
      <c r="A41" s="5" t="str">
        <f>IF(B41="","",IFERROR(INDEX(Overview!$B$3:$B$62,MATCH(B41,Overview!$V$3:$V$62,0)),""))</f>
        <v/>
      </c>
      <c r="B41" s="113"/>
      <c r="C41" s="113"/>
      <c r="D41" s="113"/>
      <c r="E41" s="4"/>
      <c r="F41" s="5" t="str">
        <f t="shared" si="0"/>
        <v/>
      </c>
      <c r="H41" s="4"/>
      <c r="I41" s="4"/>
      <c r="J41" s="4"/>
      <c r="K41" s="5" t="str">
        <f>IF(OR(Z41="",AA41=""),"",COUNTIFS($Z$3:Z41,Z41,$AA$3:AA41,AA41))</f>
        <v/>
      </c>
      <c r="M41" s="4"/>
      <c r="N41" s="4"/>
      <c r="O41" s="4"/>
      <c r="P41" s="5" t="str">
        <f>IF(OR(AE41="",AF41=""),"",COUNTIFS($AE$3:AE41,AE41,$AF$3:AF41,AF41))</f>
        <v/>
      </c>
      <c r="R41" s="4"/>
      <c r="S41" s="4"/>
      <c r="T41" s="4"/>
      <c r="U41" s="5" t="str">
        <f>IF(OR(AJ41="",AK41=""),"",COUNTIFS($AJ$3:AJ41,AJ41,$AK$3:AK41,AK41))</f>
        <v/>
      </c>
      <c r="Z41" s="6" t="str">
        <f t="shared" si="7"/>
        <v/>
      </c>
      <c r="AA41" s="6" t="str">
        <f t="shared" si="8"/>
        <v/>
      </c>
      <c r="AB41" s="6" t="str">
        <f t="shared" si="1"/>
        <v/>
      </c>
      <c r="AC41" s="6" t="str">
        <f t="shared" si="2"/>
        <v/>
      </c>
      <c r="AE41" s="6" t="str">
        <f t="shared" si="9"/>
        <v/>
      </c>
      <c r="AF41" s="6" t="str">
        <f t="shared" si="10"/>
        <v/>
      </c>
      <c r="AG41" s="6" t="str">
        <f t="shared" si="3"/>
        <v/>
      </c>
      <c r="AH41" s="6" t="str">
        <f t="shared" si="4"/>
        <v/>
      </c>
      <c r="AJ41" s="6" t="str">
        <f t="shared" si="11"/>
        <v/>
      </c>
      <c r="AK41" s="6" t="str">
        <f t="shared" si="12"/>
        <v/>
      </c>
      <c r="AL41" s="6" t="str">
        <f t="shared" si="5"/>
        <v/>
      </c>
      <c r="AM41" s="6" t="str">
        <f t="shared" si="6"/>
        <v/>
      </c>
    </row>
    <row r="42" spans="1:39">
      <c r="A42" s="5" t="str">
        <f>IF(B42="","",IFERROR(INDEX(Overview!$B$3:$B$62,MATCH(B42,Overview!$V$3:$V$62,0)),""))</f>
        <v/>
      </c>
      <c r="B42" s="113"/>
      <c r="C42" s="113"/>
      <c r="D42" s="113"/>
      <c r="E42" s="4"/>
      <c r="F42" s="5" t="str">
        <f t="shared" si="0"/>
        <v/>
      </c>
      <c r="H42" s="4"/>
      <c r="I42" s="4"/>
      <c r="J42" s="4"/>
      <c r="K42" s="5" t="str">
        <f>IF(OR(Z42="",AA42=""),"",COUNTIFS($Z$3:Z42,Z42,$AA$3:AA42,AA42))</f>
        <v/>
      </c>
      <c r="M42" s="4"/>
      <c r="N42" s="4"/>
      <c r="O42" s="4"/>
      <c r="P42" s="5" t="str">
        <f>IF(OR(AE42="",AF42=""),"",COUNTIFS($AE$3:AE42,AE42,$AF$3:AF42,AF42))</f>
        <v/>
      </c>
      <c r="R42" s="4"/>
      <c r="S42" s="4"/>
      <c r="T42" s="4"/>
      <c r="U42" s="5" t="str">
        <f>IF(OR(AJ42="",AK42=""),"",COUNTIFS($AJ$3:AJ42,AJ42,$AK$3:AK42,AK42))</f>
        <v/>
      </c>
      <c r="Z42" s="6" t="str">
        <f t="shared" si="7"/>
        <v/>
      </c>
      <c r="AA42" s="6" t="str">
        <f t="shared" si="8"/>
        <v/>
      </c>
      <c r="AB42" s="6" t="str">
        <f t="shared" si="1"/>
        <v/>
      </c>
      <c r="AC42" s="6" t="str">
        <f t="shared" si="2"/>
        <v/>
      </c>
      <c r="AE42" s="6" t="str">
        <f t="shared" si="9"/>
        <v/>
      </c>
      <c r="AF42" s="6" t="str">
        <f t="shared" si="10"/>
        <v/>
      </c>
      <c r="AG42" s="6" t="str">
        <f t="shared" si="3"/>
        <v/>
      </c>
      <c r="AH42" s="6" t="str">
        <f t="shared" si="4"/>
        <v/>
      </c>
      <c r="AJ42" s="6" t="str">
        <f t="shared" si="11"/>
        <v/>
      </c>
      <c r="AK42" s="6" t="str">
        <f t="shared" si="12"/>
        <v/>
      </c>
      <c r="AL42" s="6" t="str">
        <f t="shared" si="5"/>
        <v/>
      </c>
      <c r="AM42" s="6" t="str">
        <f t="shared" si="6"/>
        <v/>
      </c>
    </row>
    <row r="43" spans="1:39">
      <c r="A43" s="5" t="str">
        <f>IF(B43="","",IFERROR(INDEX(Overview!$B$3:$B$62,MATCH(B43,Overview!$V$3:$V$62,0)),""))</f>
        <v/>
      </c>
      <c r="B43" s="113"/>
      <c r="C43" s="113"/>
      <c r="D43" s="113"/>
      <c r="E43" s="4"/>
      <c r="F43" s="5" t="str">
        <f t="shared" si="0"/>
        <v/>
      </c>
      <c r="H43" s="4"/>
      <c r="I43" s="4"/>
      <c r="J43" s="4"/>
      <c r="K43" s="5" t="str">
        <f>IF(OR(Z43="",AA43=""),"",COUNTIFS($Z$3:Z43,Z43,$AA$3:AA43,AA43))</f>
        <v/>
      </c>
      <c r="M43" s="4"/>
      <c r="N43" s="4"/>
      <c r="O43" s="4"/>
      <c r="P43" s="5" t="str">
        <f>IF(OR(AE43="",AF43=""),"",COUNTIFS($AE$3:AE43,AE43,$AF$3:AF43,AF43))</f>
        <v/>
      </c>
      <c r="R43" s="4"/>
      <c r="S43" s="4"/>
      <c r="T43" s="4"/>
      <c r="U43" s="5" t="str">
        <f>IF(OR(AJ43="",AK43=""),"",COUNTIFS($AJ$3:AJ43,AJ43,$AK$3:AK43,AK43))</f>
        <v/>
      </c>
      <c r="Z43" s="6" t="str">
        <f t="shared" si="7"/>
        <v/>
      </c>
      <c r="AA43" s="6" t="str">
        <f t="shared" si="8"/>
        <v/>
      </c>
      <c r="AB43" s="6" t="str">
        <f t="shared" si="1"/>
        <v/>
      </c>
      <c r="AC43" s="6" t="str">
        <f t="shared" si="2"/>
        <v/>
      </c>
      <c r="AE43" s="6" t="str">
        <f t="shared" si="9"/>
        <v/>
      </c>
      <c r="AF43" s="6" t="str">
        <f t="shared" si="10"/>
        <v/>
      </c>
      <c r="AG43" s="6" t="str">
        <f t="shared" si="3"/>
        <v/>
      </c>
      <c r="AH43" s="6" t="str">
        <f t="shared" si="4"/>
        <v/>
      </c>
      <c r="AJ43" s="6" t="str">
        <f t="shared" si="11"/>
        <v/>
      </c>
      <c r="AK43" s="6" t="str">
        <f t="shared" si="12"/>
        <v/>
      </c>
      <c r="AL43" s="6" t="str">
        <f t="shared" si="5"/>
        <v/>
      </c>
      <c r="AM43" s="6" t="str">
        <f t="shared" si="6"/>
        <v/>
      </c>
    </row>
    <row r="44" spans="1:39">
      <c r="A44" s="5" t="str">
        <f>IF(B44="","",IFERROR(INDEX(Overview!$B$3:$B$62,MATCH(B44,Overview!$V$3:$V$62,0)),""))</f>
        <v/>
      </c>
      <c r="B44" s="113"/>
      <c r="C44" s="113"/>
      <c r="D44" s="113"/>
      <c r="E44" s="4"/>
      <c r="F44" s="5" t="str">
        <f t="shared" si="0"/>
        <v/>
      </c>
      <c r="H44" s="4"/>
      <c r="I44" s="4"/>
      <c r="J44" s="4"/>
      <c r="K44" s="5" t="str">
        <f>IF(OR(Z44="",AA44=""),"",COUNTIFS($Z$3:Z44,Z44,$AA$3:AA44,AA44))</f>
        <v/>
      </c>
      <c r="M44" s="4"/>
      <c r="N44" s="4"/>
      <c r="O44" s="4"/>
      <c r="P44" s="5" t="str">
        <f>IF(OR(AE44="",AF44=""),"",COUNTIFS($AE$3:AE44,AE44,$AF$3:AF44,AF44))</f>
        <v/>
      </c>
      <c r="R44" s="4"/>
      <c r="S44" s="4"/>
      <c r="T44" s="4"/>
      <c r="U44" s="5" t="str">
        <f>IF(OR(AJ44="",AK44=""),"",COUNTIFS($AJ$3:AJ44,AJ44,$AK$3:AK44,AK44))</f>
        <v/>
      </c>
      <c r="Z44" s="6" t="str">
        <f t="shared" si="7"/>
        <v/>
      </c>
      <c r="AA44" s="6" t="str">
        <f t="shared" si="8"/>
        <v/>
      </c>
      <c r="AB44" s="6" t="str">
        <f t="shared" si="1"/>
        <v/>
      </c>
      <c r="AC44" s="6" t="str">
        <f t="shared" si="2"/>
        <v/>
      </c>
      <c r="AE44" s="6" t="str">
        <f t="shared" si="9"/>
        <v/>
      </c>
      <c r="AF44" s="6" t="str">
        <f t="shared" si="10"/>
        <v/>
      </c>
      <c r="AG44" s="6" t="str">
        <f t="shared" si="3"/>
        <v/>
      </c>
      <c r="AH44" s="6" t="str">
        <f t="shared" si="4"/>
        <v/>
      </c>
      <c r="AJ44" s="6" t="str">
        <f t="shared" si="11"/>
        <v/>
      </c>
      <c r="AK44" s="6" t="str">
        <f t="shared" si="12"/>
        <v/>
      </c>
      <c r="AL44" s="6" t="str">
        <f t="shared" si="5"/>
        <v/>
      </c>
      <c r="AM44" s="6" t="str">
        <f t="shared" si="6"/>
        <v/>
      </c>
    </row>
    <row r="45" spans="1:39">
      <c r="A45" s="5" t="str">
        <f>IF(B45="","",IFERROR(INDEX(Overview!$B$3:$B$62,MATCH(B45,Overview!$V$3:$V$62,0)),""))</f>
        <v/>
      </c>
      <c r="B45" s="113"/>
      <c r="C45" s="113"/>
      <c r="D45" s="113"/>
      <c r="E45" s="4"/>
      <c r="F45" s="5" t="str">
        <f t="shared" si="0"/>
        <v/>
      </c>
      <c r="H45" s="4"/>
      <c r="I45" s="4"/>
      <c r="J45" s="4"/>
      <c r="K45" s="5" t="str">
        <f>IF(OR(Z45="",AA45=""),"",COUNTIFS($Z$3:Z45,Z45,$AA$3:AA45,AA45))</f>
        <v/>
      </c>
      <c r="M45" s="4"/>
      <c r="N45" s="4"/>
      <c r="O45" s="4"/>
      <c r="P45" s="5" t="str">
        <f>IF(OR(AE45="",AF45=""),"",COUNTIFS($AE$3:AE45,AE45,$AF$3:AF45,AF45))</f>
        <v/>
      </c>
      <c r="R45" s="4"/>
      <c r="S45" s="4"/>
      <c r="T45" s="4"/>
      <c r="U45" s="5" t="str">
        <f>IF(OR(AJ45="",AK45=""),"",COUNTIFS($AJ$3:AJ45,AJ45,$AK$3:AK45,AK45))</f>
        <v/>
      </c>
      <c r="Z45" s="6" t="str">
        <f t="shared" si="7"/>
        <v/>
      </c>
      <c r="AA45" s="6" t="str">
        <f t="shared" si="8"/>
        <v/>
      </c>
      <c r="AB45" s="6" t="str">
        <f t="shared" si="1"/>
        <v/>
      </c>
      <c r="AC45" s="6" t="str">
        <f t="shared" si="2"/>
        <v/>
      </c>
      <c r="AE45" s="6" t="str">
        <f t="shared" si="9"/>
        <v/>
      </c>
      <c r="AF45" s="6" t="str">
        <f t="shared" si="10"/>
        <v/>
      </c>
      <c r="AG45" s="6" t="str">
        <f t="shared" si="3"/>
        <v/>
      </c>
      <c r="AH45" s="6" t="str">
        <f t="shared" si="4"/>
        <v/>
      </c>
      <c r="AJ45" s="6" t="str">
        <f t="shared" si="11"/>
        <v/>
      </c>
      <c r="AK45" s="6" t="str">
        <f t="shared" si="12"/>
        <v/>
      </c>
      <c r="AL45" s="6" t="str">
        <f t="shared" si="5"/>
        <v/>
      </c>
      <c r="AM45" s="6" t="str">
        <f t="shared" si="6"/>
        <v/>
      </c>
    </row>
    <row r="46" spans="1:39">
      <c r="A46" s="5" t="str">
        <f>IF(B46="","",IFERROR(INDEX(Overview!$B$3:$B$62,MATCH(B46,Overview!$V$3:$V$62,0)),""))</f>
        <v/>
      </c>
      <c r="B46" s="113"/>
      <c r="C46" s="113"/>
      <c r="D46" s="113"/>
      <c r="E46" s="4"/>
      <c r="F46" s="5" t="str">
        <f t="shared" si="0"/>
        <v/>
      </c>
      <c r="H46" s="4"/>
      <c r="I46" s="4"/>
      <c r="J46" s="4"/>
      <c r="K46" s="5" t="str">
        <f>IF(OR(Z46="",AA46=""),"",COUNTIFS($Z$3:Z46,Z46,$AA$3:AA46,AA46))</f>
        <v/>
      </c>
      <c r="M46" s="4"/>
      <c r="N46" s="4"/>
      <c r="O46" s="4"/>
      <c r="P46" s="5" t="str">
        <f>IF(OR(AE46="",AF46=""),"",COUNTIFS($AE$3:AE46,AE46,$AF$3:AF46,AF46))</f>
        <v/>
      </c>
      <c r="R46" s="4"/>
      <c r="S46" s="4"/>
      <c r="T46" s="4"/>
      <c r="U46" s="5" t="str">
        <f>IF(OR(AJ46="",AK46=""),"",COUNTIFS($AJ$3:AJ46,AJ46,$AK$3:AK46,AK46))</f>
        <v/>
      </c>
      <c r="Z46" s="6" t="str">
        <f t="shared" si="7"/>
        <v/>
      </c>
      <c r="AA46" s="6" t="str">
        <f t="shared" si="8"/>
        <v/>
      </c>
      <c r="AB46" s="6" t="str">
        <f t="shared" si="1"/>
        <v/>
      </c>
      <c r="AC46" s="6" t="str">
        <f t="shared" si="2"/>
        <v/>
      </c>
      <c r="AE46" s="6" t="str">
        <f t="shared" si="9"/>
        <v/>
      </c>
      <c r="AF46" s="6" t="str">
        <f t="shared" si="10"/>
        <v/>
      </c>
      <c r="AG46" s="6" t="str">
        <f t="shared" si="3"/>
        <v/>
      </c>
      <c r="AH46" s="6" t="str">
        <f t="shared" si="4"/>
        <v/>
      </c>
      <c r="AJ46" s="6" t="str">
        <f t="shared" si="11"/>
        <v/>
      </c>
      <c r="AK46" s="6" t="str">
        <f t="shared" si="12"/>
        <v/>
      </c>
      <c r="AL46" s="6" t="str">
        <f t="shared" si="5"/>
        <v/>
      </c>
      <c r="AM46" s="6" t="str">
        <f t="shared" si="6"/>
        <v/>
      </c>
    </row>
    <row r="47" spans="1:39">
      <c r="H47" s="4"/>
      <c r="I47" s="4"/>
      <c r="J47" s="4"/>
      <c r="K47" s="5" t="str">
        <f>IF(OR(Z47="",AA47=""),"",COUNTIFS($Z$3:Z47,Z47,$AA$3:AA47,AA47))</f>
        <v/>
      </c>
      <c r="M47" s="4"/>
      <c r="N47" s="4"/>
      <c r="O47" s="4"/>
      <c r="P47" s="5" t="str">
        <f>IF(OR(AE47="",AF47=""),"",COUNTIFS($AE$3:AE47,AE47,$AF$3:AF47,AF47))</f>
        <v/>
      </c>
      <c r="R47" s="4"/>
      <c r="S47" s="4"/>
      <c r="T47" s="4"/>
      <c r="U47" s="5" t="str">
        <f>IF(OR(AJ47="",AK47=""),"",COUNTIFS($AJ$3:AJ47,AJ47,$AK$3:AK47,AK47))</f>
        <v/>
      </c>
      <c r="Z47" s="6" t="str">
        <f t="shared" si="7"/>
        <v/>
      </c>
      <c r="AA47" s="6" t="str">
        <f t="shared" si="8"/>
        <v/>
      </c>
      <c r="AB47" s="6" t="str">
        <f t="shared" si="1"/>
        <v/>
      </c>
      <c r="AC47" s="6" t="str">
        <f t="shared" si="2"/>
        <v/>
      </c>
      <c r="AE47" s="6" t="str">
        <f t="shared" si="9"/>
        <v/>
      </c>
      <c r="AF47" s="6" t="str">
        <f t="shared" si="10"/>
        <v/>
      </c>
      <c r="AG47" s="6" t="str">
        <f t="shared" si="3"/>
        <v/>
      </c>
      <c r="AH47" s="6" t="str">
        <f t="shared" si="4"/>
        <v/>
      </c>
      <c r="AJ47" s="6" t="str">
        <f t="shared" si="11"/>
        <v/>
      </c>
      <c r="AK47" s="6" t="str">
        <f t="shared" si="12"/>
        <v/>
      </c>
      <c r="AL47" s="6" t="str">
        <f t="shared" si="5"/>
        <v/>
      </c>
      <c r="AM47" s="6" t="str">
        <f t="shared" si="6"/>
        <v/>
      </c>
    </row>
  </sheetData>
  <autoFilter ref="A2:F47" xr:uid="{00000000-0001-0000-0200-000000000000}"/>
  <mergeCells count="8">
    <mergeCell ref="Z1:AC1"/>
    <mergeCell ref="AE1:AH1"/>
    <mergeCell ref="AJ1:AM1"/>
    <mergeCell ref="A1:F1"/>
    <mergeCell ref="H1:K1"/>
    <mergeCell ref="M1:P1"/>
    <mergeCell ref="R1:U1"/>
    <mergeCell ref="W1:X1"/>
  </mergeCells>
  <phoneticPr fontId="7" type="noConversion"/>
  <conditionalFormatting sqref="F3:F46">
    <cfRule type="containsText" dxfId="20" priority="23" operator="containsText" text="OK"/>
    <cfRule type="expression" dxfId="19" priority="24">
      <formula>AND(F3&lt;&gt;"",F3&lt;&gt;"OK")</formula>
    </cfRule>
  </conditionalFormatting>
  <conditionalFormatting sqref="AC3:AC47">
    <cfRule type="containsText" dxfId="18" priority="25" operator="containsText" text="OK"/>
    <cfRule type="expression" dxfId="17" priority="26">
      <formula>AND(AC3&lt;&gt;"",AC3&lt;&gt;"OK")</formula>
    </cfRule>
  </conditionalFormatting>
  <conditionalFormatting sqref="AH3:AH47">
    <cfRule type="containsText" dxfId="16" priority="27" operator="containsText" text="OK"/>
    <cfRule type="expression" dxfId="15" priority="28">
      <formula>AND(AH3&lt;&gt;"",AH3&lt;&gt;"OK")</formula>
    </cfRule>
  </conditionalFormatting>
  <conditionalFormatting sqref="AM3:AM47">
    <cfRule type="containsText" dxfId="14" priority="29" operator="containsText" text="OK"/>
    <cfRule type="expression" dxfId="13" priority="30">
      <formula>AND(AM3&lt;&gt;"",AM3&lt;&gt;"OK")</formula>
    </cfRule>
  </conditionalFormatting>
  <conditionalFormatting sqref="A3:AM47">
    <cfRule type="expression" dxfId="12" priority="32" stopIfTrue="1">
      <formula>AND($AZ$1=TRUE,CELL("row")=ROW())</formula>
    </cfRule>
    <cfRule type="expression" dxfId="11" priority="1" stopIfTrue="1">
      <formula>AND($AZ$1=TRUE,ROW()=CELL("row"),COLUMN()=CELL("col"))</formula>
    </cfRule>
  </conditionalFormatting>
  <dataValidations count="2">
    <dataValidation type="list" sqref="AZ1" xr:uid="{00000000-0002-0000-0200-000001000000}">
      <formula1>"true,false"</formula1>
    </dataValidation>
    <dataValidation type="list" sqref="C3:C46" xr:uid="{00000000-0002-0000-0200-000000000000}">
      <formula1>"strain,vertical,other"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3" name="PWBTN_State">
              <controlPr defaultSize="0" print="0" autoFill="0" autoPict="0" macro="[0]!PWToggleLiveState">
                <anchor>
                  <from>
                    <xdr:col>22</xdr:col>
                    <xdr:colOff>38100</xdr:colOff>
                    <xdr:row>1</xdr:row>
                    <xdr:rowOff>38100</xdr:rowOff>
                  </from>
                  <to>
                    <xdr:col>24</xdr:col>
                    <xdr:colOff>152400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" name="PWBTN_Sync">
              <controlPr defaultSize="0" print="0" autoFill="0" autoPict="0" macro="[0]!PWSyncNow">
                <anchor>
                  <from>
                    <xdr:col>22</xdr:col>
                    <xdr:colOff>38100</xdr:colOff>
                    <xdr:row>2</xdr:row>
                    <xdr:rowOff>76200</xdr:rowOff>
                  </from>
                  <to>
                    <xdr:col>24</xdr:col>
                    <xdr:colOff>152400</xdr:colOff>
                    <xdr:row>4</xdr:row>
                    <xdr:rowOff>14288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" name="PWBTN_NewAnnotationSet">
              <controlPr defaultSize="0" print="0" autoFill="0" autoPict="0" macro="[0]!PWNewAnnotationSet">
                <anchor>
                  <from>
                    <xdr:col>22</xdr:col>
                    <xdr:colOff>38100</xdr:colOff>
                    <xdr:row>4</xdr:row>
                    <xdr:rowOff>52388</xdr:rowOff>
                  </from>
                  <to>
                    <xdr:col>24</xdr:col>
                    <xdr:colOff>152400</xdr:colOff>
                    <xdr:row>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" name="PWBTN_Expand">
              <controlPr defaultSize="0" print="0" autoFill="0" autoPict="0" macro="[0]!PWExpandActiveSheet">
                <anchor>
                  <from>
                    <xdr:col>22</xdr:col>
                    <xdr:colOff>38100</xdr:colOff>
                    <xdr:row>6</xdr:row>
                    <xdr:rowOff>23813</xdr:rowOff>
                  </from>
                  <to>
                    <xdr:col>24</xdr:col>
                    <xdr:colOff>152400</xdr:colOff>
                    <xdr:row>7</xdr:row>
                    <xdr:rowOff>128588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" name="PWBTN_Highlight">
              <controlPr defaultSize="0" print="0" autoFill="0" autoPict="0" macro="[0]!PWToggleActiveHighlight">
                <anchor>
                  <from>
                    <xdr:col>22</xdr:col>
                    <xdr:colOff>38100</xdr:colOff>
                    <xdr:row>7</xdr:row>
                    <xdr:rowOff>166688</xdr:rowOff>
                  </from>
                  <to>
                    <xdr:col>24</xdr:col>
                    <xdr:colOff>152400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" name="PWBTN_Instructions">
              <controlPr defaultSize="0" print="0" autoFill="0" autoPict="0" macro="[0]!PWToggleInstructions">
                <anchor>
                  <from>
                    <xdr:col>22</xdr:col>
                    <xdr:colOff>38100</xdr:colOff>
                    <xdr:row>9</xdr:row>
                    <xdr:rowOff>133350</xdr:rowOff>
                  </from>
                  <to>
                    <xdr:col>24</xdr:col>
                    <xdr:colOff>152400</xdr:colOff>
                    <xdr:row>11</xdr:row>
                    <xdr:rowOff>71438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" name="PWBTN_Refresh">
              <controlPr defaultSize="0" print="0" autoFill="0" autoPict="0" macro="[0]!PWRefreshCurrentSheetVisuals">
                <anchor>
                  <from>
                    <xdr:col>22</xdr:col>
                    <xdr:colOff>38100</xdr:colOff>
                    <xdr:row>11</xdr:row>
                    <xdr:rowOff>109538</xdr:rowOff>
                  </from>
                  <to>
                    <xdr:col>24</xdr:col>
                    <xdr:colOff>152400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" name="PWBTN_Rebuild">
              <controlPr defaultSize="0" print="0" autoFill="0" autoPict="0" macro="[0]!PWSetupWorkflowUI">
                <anchor>
                  <from>
                    <xdr:col>22</xdr:col>
                    <xdr:colOff>38100</xdr:colOff>
                    <xdr:row>13</xdr:row>
                    <xdr:rowOff>76200</xdr:rowOff>
                  </from>
                  <to>
                    <xdr:col>24</xdr:col>
                    <xdr:colOff>152400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1" name="PWBTN_Legend">
              <controlPr defaultSize="0" print="0" autoFill="0" autoPict="0" macro="[0]!PWToggleLegend">
                <anchor>
                  <from>
                    <xdr:col>22</xdr:col>
                    <xdr:colOff>38100</xdr:colOff>
                    <xdr:row>15</xdr:row>
                    <xdr:rowOff>47625</xdr:rowOff>
                  </from>
                  <to>
                    <xdr:col>24</xdr:col>
                    <xdr:colOff>152400</xdr:colOff>
                    <xdr:row>16</xdr:row>
                    <xdr:rowOff>157163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152"/>
  <sheetViews>
    <sheetView showGridLines="0" topLeftCell="G1" workbookViewId="0">
      <selection activeCell="M4" sqref="M4"/>
    </sheetView>
  </sheetViews>
  <sheetFormatPr defaultRowHeight="13.5"/>
  <cols>
    <col min="1" max="1" width="7" customWidth="1"/>
    <col min="2" max="2" width="20" customWidth="1"/>
    <col min="3" max="3" width="30" customWidth="1"/>
    <col min="4" max="4" width="9" customWidth="1"/>
    <col min="5" max="5" width="25" customWidth="1"/>
    <col min="6" max="6" width="8" customWidth="1"/>
    <col min="7" max="7" width="12" customWidth="1"/>
    <col min="8" max="8" width="16" customWidth="1"/>
    <col min="9" max="9" width="8" customWidth="1"/>
    <col min="10" max="10" width="14" customWidth="1"/>
    <col min="11" max="11" width="35" customWidth="1"/>
    <col min="12" max="12" width="52" customWidth="1"/>
    <col min="13" max="13" width="17" customWidth="1"/>
    <col min="14" max="14" width="18" customWidth="1"/>
    <col min="15" max="15" width="11" customWidth="1"/>
    <col min="16" max="16" width="13" customWidth="1"/>
    <col min="17" max="17" width="9" customWidth="1"/>
    <col min="18" max="18" width="36" customWidth="1"/>
    <col min="19" max="19" width="29.5625" customWidth="1"/>
    <col min="20" max="20" width="13" customWidth="1"/>
    <col min="21" max="21" width="3" hidden="1" customWidth="1"/>
    <col min="22" max="24" width="0" hidden="1" customWidth="1"/>
    <col min="51" max="51" width="15" customWidth="1"/>
    <col min="52" max="52" width="10" customWidth="1"/>
  </cols>
  <sheetData>
    <row r="1" spans="1:52" ht="22.05" customHeight="1">
      <c r="A1" s="122" t="s">
        <v>109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T1" s="125" t="s">
        <v>1</v>
      </c>
      <c r="U1" s="126"/>
      <c r="AY1" s="1" t="s">
        <v>3</v>
      </c>
      <c r="AZ1" s="2" t="b">
        <v>1</v>
      </c>
    </row>
    <row r="2" spans="1:52" ht="22.05" customHeight="1" thickBot="1">
      <c r="A2" s="17" t="s">
        <v>4</v>
      </c>
      <c r="B2" s="17" t="s">
        <v>17</v>
      </c>
      <c r="C2" s="17" t="s">
        <v>26</v>
      </c>
      <c r="D2" s="17" t="s">
        <v>49</v>
      </c>
      <c r="E2" s="17" t="s">
        <v>50</v>
      </c>
      <c r="F2" s="17" t="s">
        <v>51</v>
      </c>
      <c r="G2" s="17" t="s">
        <v>52</v>
      </c>
      <c r="H2" s="17" t="s">
        <v>53</v>
      </c>
      <c r="I2" s="17" t="s">
        <v>54</v>
      </c>
      <c r="J2" s="17" t="s">
        <v>110</v>
      </c>
      <c r="K2" s="17" t="s">
        <v>111</v>
      </c>
      <c r="L2" s="17" t="s">
        <v>112</v>
      </c>
      <c r="M2" s="17" t="s">
        <v>8</v>
      </c>
      <c r="N2" s="17" t="s">
        <v>9</v>
      </c>
      <c r="O2" s="17" t="s">
        <v>5</v>
      </c>
      <c r="P2" s="17" t="s">
        <v>20</v>
      </c>
      <c r="Q2" s="17" t="s">
        <v>6</v>
      </c>
      <c r="R2" s="17" t="s">
        <v>113</v>
      </c>
      <c r="S2" t="s">
        <v>120</v>
      </c>
      <c r="T2" s="7" t="s">
        <v>18</v>
      </c>
      <c r="U2" s="8" t="s">
        <v>121</v>
      </c>
      <c r="V2" t="s">
        <v>122</v>
      </c>
      <c r="W2" t="s">
        <v>123</v>
      </c>
      <c r="X2" t="s">
        <v>124</v>
      </c>
      <c r="AY2" s="1" t="s">
        <v>27</v>
      </c>
      <c r="AZ2" s="2" t="b">
        <v>0</v>
      </c>
    </row>
    <row r="3" spans="1:52" ht="13.9" thickBot="1">
      <c r="A3" s="22">
        <f>IF(ROW()-2&gt;SUMIFS(Overview!$K$3:$K$62,Overview!$N$3:$N$62,"OK"),"",LOOKUP(2,1/((Overview!$L$3:$L$62&lt;=ROW()-2)*(Overview!$M$3:$M$62&gt;=ROW()-2)),Overview!$R$3:$R$62))</f>
        <v>1</v>
      </c>
      <c r="B3" s="22" t="str">
        <f>IF(A3="","",LOOKUP(2,1/((Overview!$L$3:$L$62&lt;=ROW()-2)*(Overview!$M$3:$M$62&gt;=ROW()-2)),Overview!$O$3:$O$62))</f>
        <v>14.08.26_24h</v>
      </c>
      <c r="C3" s="22" t="str">
        <f>IF(A3="","",LOOKUP(2,1/((Overview!$L$3:$L$62&lt;=ROW()-2)*(Overview!$M$3:$M$62&gt;=ROW()-2)),Overview!$Y$3:$Y$62))</f>
        <v>E1_14.08.26_24h</v>
      </c>
      <c r="D3" s="27">
        <f>IF(A3="","",ROW()-2-LOOKUP(2,1/((Overview!$L$3:$L$62&lt;=ROW()-2)*(Overview!$M$3:$M$62&gt;=ROW()-2)),Overview!$L$3:$L$62)+1)</f>
        <v>1</v>
      </c>
      <c r="E3" s="26" t="str">
        <f>IF(A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3" s="27" t="str">
        <f>IF(A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" s="111" t="str">
        <f>IF(A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" s="26" t="str">
        <f>IF(A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3" s="26">
        <f>IF(A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3" s="27" t="str">
        <f>IF(A3="","","image"&amp;D3&amp;LOOKUP(2,1/((Overview!$L$3:$L$62&lt;=ROW()-2)*(Overview!$M$3:$M$62&gt;=ROW()-2)),Overview!$X$3:$X$62))</f>
        <v>image1.jpg</v>
      </c>
      <c r="K3" s="111" t="str">
        <f t="shared" ref="K3:K34" si="0">IF(A3="","",C3&amp;"_I"&amp;TEXT(D3,"000"))</f>
        <v>E1_14.08.26_24h_I001</v>
      </c>
      <c r="L3" s="27" t="str">
        <f>IF(U3="","",IF(V3=1,U3,IF(X3=1,W3,LEFT(W3,LEN(W3)-LEN(LOOKUP(2,1/((Overview!$L$3:$L$62&lt;=ROW()-2)*(Overview!$M$3:$M$62&gt;=ROW()-2)),Overview!$X$3:$X$62)))&amp;IF(COUNTIF($W$3:W3,W3)=1,"","__"&amp;COUNTIF($W$3:W3,W3))&amp;LOOKUP(2,1/((Overview!$L$3:$L$62&lt;=ROW()-2)*(Overview!$M$3:$M$62&gt;=ROW()-2)),Overview!$X$3:$X$62))))</f>
        <v>14.08.26_SetA_24h_YPDA, 1.jpg</v>
      </c>
      <c r="M3" s="22" t="str">
        <f>IF(A3="","",LOOKUP(2,1/((Overview!$L$3:$L$62&lt;=ROW()-2)*(Overview!$M$3:$M$62&gt;=ROW()-2)),Overview!$U$3:$U$62))</f>
        <v>Arrangement 1</v>
      </c>
      <c r="N3" s="22" t="str">
        <f>IF(A3="","",LOOKUP(2,1/((Overview!$L$3:$L$62&lt;=ROW()-2)*(Overview!$M$3:$M$62&gt;=ROW()-2)),Overview!$V$3:$V$62))</f>
        <v>annotationSet 1</v>
      </c>
      <c r="O3" s="22" t="str">
        <f>IF(A3="","",LOOKUP(2,1/((Overview!$L$3:$L$62&lt;=ROW()-2)*(Overview!$M$3:$M$62&gt;=ROW()-2)),Overview!$B$3:$B$62))</f>
        <v>14.08.26</v>
      </c>
      <c r="P3" s="75">
        <f>IF(A3="","",LOOKUP(2,1/((Overview!$L$3:$L$62&lt;=ROW()-2)*(Overview!$M$3:$M$62&gt;=ROW()-2)),Overview!$S$3:$S$62))</f>
        <v>46248</v>
      </c>
      <c r="Q3" s="22" t="str">
        <f>IF(A3="","",LOOKUP(2,1/((Overview!$L$3:$L$62&lt;=ROW()-2)*(Overview!$M$3:$M$62&gt;=ROW()-2)),Overview!$C$3:$C$62))</f>
        <v>24h</v>
      </c>
      <c r="R3" s="22" t="str">
        <f>IF(E3="","",IF(AND(I3&lt;&gt;"",LOOKUP(2,1/((Overview!$L$3:$L$62&lt;=ROW()-2)*(Overview!$M$3:$M$62&gt;=ROW()-2)),Overview!$Z$3:$Z$62)&lt;&gt;""),LEFT(E3,LEN(E3)-LEN(I3))&amp;LOOKUP(2,1/((Overview!$L$3:$L$62&lt;=ROW()-2)*(Overview!$M$3:$M$62&gt;=ROW()-2)),Overview!$Z$3:$Z$62)&amp;" "&amp;I3,E3)&amp;IF(AND(Q3="",LOOKUP(2,1/((Overview!$L$3:$L$62&lt;=ROW()-2)*(Overview!$M$3:$M$62&gt;=ROW()-2)),Overview!$W$3:$W$62)=""),"",", "&amp;IF(Q3&lt;&gt;"",Q3,"")&amp;IF(AND(Q3&lt;&gt;"",LOOKUP(2,1/((Overview!$L$3:$L$62&lt;=ROW()-2)*(Overview!$M$3:$M$62&gt;=ROW()-2)),Overview!$W$3:$W$62)&lt;&gt;"")," ","")&amp;LOOKUP(2,1/((Overview!$L$3:$L$62&lt;=ROW()-2)*(Overview!$M$3:$M$62&gt;=ROW()-2)),Overview!$W$3:$W$62)))</f>
        <v>YPDA, 1, 24h growth</v>
      </c>
      <c r="S3" s="102" t="str">
        <f>IF(U3="","",IF(V3=1,"Unique",IF(TRIM(F3)="","Missing Set for duplicate",IF(X3=1,"Duplicate resolved by Set","Set still duplicated; suffix added"))))</f>
        <v>Duplicate resolved by Set</v>
      </c>
      <c r="T3" s="20" t="s">
        <v>40</v>
      </c>
      <c r="U3" s="10" t="str">
        <f>IF(A3="","",O3&amp;IF(LOOKUP(2,1/((Overview!$L$3:$L$62&lt;=ROW()-2)*(Overview!$M$3:$M$62&gt;=ROW()-2)),Overview!$T$3:$T$62)&lt;&gt;"","_"&amp;LOOKUP(2,1/((Overview!$L$3:$L$62&lt;=ROW()-2)*(Overview!$M$3:$M$62&gt;=ROW()-2)),Overview!$T$3:$T$62),"")&amp;IF(Q3&lt;&gt;"","_"&amp;Q3,"")&amp;IF(E3&lt;&gt;"","_"&amp;E3,"")&amp;LOOKUP(2,1/((Overview!$L$3:$L$62&lt;=ROW()-2)*(Overview!$M$3:$M$62&gt;=ROW()-2)),Overview!$X$3:$X$62))</f>
        <v>14.08.26_24h_YPDA, 1.jpg</v>
      </c>
      <c r="V3">
        <f>IF(U3="","",COUNTIF($U$3:$U$152,U3))</f>
        <v>2</v>
      </c>
      <c r="W3" t="str">
        <f>IF(U3="","",O3&amp;IF(LOOKUP(2,1/((Overview!$L$3:$L$62&lt;=ROW()-2)*(Overview!$M$3:$M$62&gt;=ROW()-2)),Overview!$T$3:$T$62)&lt;&gt;"","_"&amp;LOOKUP(2,1/((Overview!$L$3:$L$62&lt;=ROW()-2)*(Overview!$M$3:$M$62&gt;=ROW()-2)),Overview!$T$3:$T$62),"")&amp;"_"&amp;IF(LEFT(LOWER(TRIM(F3)),3)="set",TRIM(F3),"Set"&amp;TRIM(F3))&amp;IF(Q3&lt;&gt;"","_"&amp;Q3,"")&amp;IF(E3&lt;&gt;"","_"&amp;E3,"")&amp;LOOKUP(2,1/((Overview!$L$3:$L$62&lt;=ROW()-2)*(Overview!$M$3:$M$62&gt;=ROW()-2)),Overview!$X$3:$X$62))</f>
        <v>14.08.26_SetA_24h_YPDA, 1.jpg</v>
      </c>
      <c r="X3">
        <f>IF(W3="","",COUNTIF($W$3:$W$152,W3))</f>
        <v>1</v>
      </c>
      <c r="AY3" s="15" t="s">
        <v>36</v>
      </c>
      <c r="AZ3" s="16" t="b">
        <v>0</v>
      </c>
    </row>
    <row r="4" spans="1:52" ht="13.9" thickBot="1">
      <c r="A4" s="19">
        <f>IF(ROW()-2&gt;SUMIFS(Overview!$K$3:$K$62,Overview!$N$3:$N$62,"OK"),"",LOOKUP(2,1/((Overview!$L$3:$L$62&lt;=ROW()-2)*(Overview!$M$3:$M$62&gt;=ROW()-2)),Overview!$R$3:$R$62))</f>
        <v>1</v>
      </c>
      <c r="B4" s="19" t="str">
        <f>IF(A4="","",LOOKUP(2,1/((Overview!$L$3:$L$62&lt;=ROW()-2)*(Overview!$M$3:$M$62&gt;=ROW()-2)),Overview!$O$3:$O$62))</f>
        <v>14.08.26_24h</v>
      </c>
      <c r="C4" s="19" t="str">
        <f>IF(A4="","",LOOKUP(2,1/((Overview!$L$3:$L$62&lt;=ROW()-2)*(Overview!$M$3:$M$62&gt;=ROW()-2)),Overview!$Y$3:$Y$62))</f>
        <v>E1_14.08.26_24h</v>
      </c>
      <c r="D4" s="29">
        <f>IF(A4="","",ROW()-2-LOOKUP(2,1/((Overview!$L$3:$L$62&lt;=ROW()-2)*(Overview!$M$3:$M$62&gt;=ROW()-2)),Overview!$L$3:$L$62)+1)</f>
        <v>2</v>
      </c>
      <c r="E4" s="28" t="str">
        <f>IF(A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4" s="29" t="str">
        <f>IF(A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4" s="112" t="str">
        <f>IF(A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" s="28" t="str">
        <f>IF(A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4" s="28">
        <f>IF(A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4" s="29" t="str">
        <f>IF(A4="","","image"&amp;D4&amp;LOOKUP(2,1/((Overview!$L$3:$L$62&lt;=ROW()-2)*(Overview!$M$3:$M$62&gt;=ROW()-2)),Overview!$X$3:$X$62))</f>
        <v>image2.jpg</v>
      </c>
      <c r="K4" s="112" t="str">
        <f t="shared" si="0"/>
        <v>E1_14.08.26_24h_I002</v>
      </c>
      <c r="L4" s="27" t="str">
        <f>IF(U4="","",IF(V4=1,U4,IF(X4=1,W4,LEFT(W4,LEN(W4)-LEN(LOOKUP(2,1/((Overview!$L$3:$L$62&lt;=ROW()-2)*(Overview!$M$3:$M$62&gt;=ROW()-2)),Overview!$X$3:$X$62)))&amp;IF(COUNTIF($W$3:W4,W4)=1,"","__"&amp;COUNTIF($W$3:W4,W4))&amp;LOOKUP(2,1/((Overview!$L$3:$L$62&lt;=ROW()-2)*(Overview!$M$3:$M$62&gt;=ROW()-2)),Overview!$X$3:$X$62))))</f>
        <v>14.08.26_SetA_24h_YPDA, 2.jpg</v>
      </c>
      <c r="M4" s="19" t="str">
        <f>IF(A4="","",LOOKUP(2,1/((Overview!$L$3:$L$62&lt;=ROW()-2)*(Overview!$M$3:$M$62&gt;=ROW()-2)),Overview!$U$3:$U$62))</f>
        <v>Arrangement 1</v>
      </c>
      <c r="N4" s="19" t="str">
        <f>IF(A4="","",LOOKUP(2,1/((Overview!$L$3:$L$62&lt;=ROW()-2)*(Overview!$M$3:$M$62&gt;=ROW()-2)),Overview!$V$3:$V$62))</f>
        <v>annotationSet 1</v>
      </c>
      <c r="O4" s="19" t="str">
        <f>IF(A4="","",LOOKUP(2,1/((Overview!$L$3:$L$62&lt;=ROW()-2)*(Overview!$M$3:$M$62&gt;=ROW()-2)),Overview!$B$3:$B$62))</f>
        <v>14.08.26</v>
      </c>
      <c r="P4" s="74">
        <f>IF(A4="","",LOOKUP(2,1/((Overview!$L$3:$L$62&lt;=ROW()-2)*(Overview!$M$3:$M$62&gt;=ROW()-2)),Overview!$S$3:$S$62))</f>
        <v>46248</v>
      </c>
      <c r="Q4" s="19" t="str">
        <f>IF(A4="","",LOOKUP(2,1/((Overview!$L$3:$L$62&lt;=ROW()-2)*(Overview!$M$3:$M$62&gt;=ROW()-2)),Overview!$C$3:$C$62))</f>
        <v>24h</v>
      </c>
      <c r="R4" s="22" t="str">
        <f>IF(E4="","",IF(AND(I4&lt;&gt;"",LOOKUP(2,1/((Overview!$L$3:$L$62&lt;=ROW()-2)*(Overview!$M$3:$M$62&gt;=ROW()-2)),Overview!$Z$3:$Z$62)&lt;&gt;""),LEFT(E4,LEN(E4)-LEN(I4))&amp;LOOKUP(2,1/((Overview!$L$3:$L$62&lt;=ROW()-2)*(Overview!$M$3:$M$62&gt;=ROW()-2)),Overview!$Z$3:$Z$62)&amp;" "&amp;I4,E4)&amp;IF(AND(Q4="",LOOKUP(2,1/((Overview!$L$3:$L$62&lt;=ROW()-2)*(Overview!$M$3:$M$62&gt;=ROW()-2)),Overview!$W$3:$W$62)=""),"",", "&amp;IF(Q4&lt;&gt;"",Q4,"")&amp;IF(AND(Q4&lt;&gt;"",LOOKUP(2,1/((Overview!$L$3:$L$62&lt;=ROW()-2)*(Overview!$M$3:$M$62&gt;=ROW()-2)),Overview!$W$3:$W$62)&lt;&gt;"")," ","")&amp;LOOKUP(2,1/((Overview!$L$3:$L$62&lt;=ROW()-2)*(Overview!$M$3:$M$62&gt;=ROW()-2)),Overview!$W$3:$W$62)))</f>
        <v>YPDA, 2, 24h growth</v>
      </c>
      <c r="S4" t="str">
        <f t="shared" ref="S4:S67" si="1">IF(U4="","",IF(V4=1,"Unique",IF(TRIM(F4)="","Missing Set for duplicate",IF(X4=1,"Duplicate resolved by Set","Set still duplicated; suffix added"))))</f>
        <v>Duplicate resolved by Set</v>
      </c>
      <c r="T4" s="9" t="s">
        <v>45</v>
      </c>
      <c r="U4" s="10" t="str">
        <f>IF(A4="","",O4&amp;IF(LOOKUP(2,1/((Overview!$L$3:$L$62&lt;=ROW()-2)*(Overview!$M$3:$M$62&gt;=ROW()-2)),Overview!$T$3:$T$62)&lt;&gt;"","_"&amp;LOOKUP(2,1/((Overview!$L$3:$L$62&lt;=ROW()-2)*(Overview!$M$3:$M$62&gt;=ROW()-2)),Overview!$T$3:$T$62),"")&amp;IF(Q4&lt;&gt;"","_"&amp;Q4,"")&amp;IF(E4&lt;&gt;"","_"&amp;E4,"")&amp;LOOKUP(2,1/((Overview!$L$3:$L$62&lt;=ROW()-2)*(Overview!$M$3:$M$62&gt;=ROW()-2)),Overview!$X$3:$X$62))</f>
        <v>14.08.26_24h_YPDA, 2.jpg</v>
      </c>
      <c r="V4">
        <f t="shared" ref="V4:V67" si="2">IF(U4="","",COUNTIF($U$3:$U$152,U4))</f>
        <v>2</v>
      </c>
      <c r="W4" t="str">
        <f>IF(U4="","",O4&amp;IF(LOOKUP(2,1/((Overview!$L$3:$L$62&lt;=ROW()-2)*(Overview!$M$3:$M$62&gt;=ROW()-2)),Overview!$T$3:$T$62)&lt;&gt;"","_"&amp;LOOKUP(2,1/((Overview!$L$3:$L$62&lt;=ROW()-2)*(Overview!$M$3:$M$62&gt;=ROW()-2)),Overview!$T$3:$T$62),"")&amp;"_"&amp;IF(LEFT(LOWER(TRIM(F4)),3)="set",TRIM(F4),"Set"&amp;TRIM(F4))&amp;IF(Q4&lt;&gt;"","_"&amp;Q4,"")&amp;IF(E4&lt;&gt;"","_"&amp;E4,"")&amp;LOOKUP(2,1/((Overview!$L$3:$L$62&lt;=ROW()-2)*(Overview!$M$3:$M$62&gt;=ROW()-2)),Overview!$X$3:$X$62))</f>
        <v>14.08.26_SetA_24h_YPDA, 2.jpg</v>
      </c>
      <c r="X4">
        <f t="shared" ref="X4:X67" si="3">IF(W4="","",COUNTIF($W$3:$W$152,W4))</f>
        <v>1</v>
      </c>
      <c r="AY4" s="15" t="s">
        <v>41</v>
      </c>
      <c r="AZ4" s="16" t="b">
        <v>0</v>
      </c>
    </row>
    <row r="5" spans="1:52" ht="13.9" thickBot="1">
      <c r="A5" s="5">
        <f>IF(ROW()-2&gt;SUMIFS(Overview!$K$3:$K$62,Overview!$N$3:$N$62,"OK"),"",LOOKUP(2,1/((Overview!$L$3:$L$62&lt;=ROW()-2)*(Overview!$M$3:$M$62&gt;=ROW()-2)),Overview!$R$3:$R$62))</f>
        <v>1</v>
      </c>
      <c r="B5" s="5" t="str">
        <f>IF(A5="","",LOOKUP(2,1/((Overview!$L$3:$L$62&lt;=ROW()-2)*(Overview!$M$3:$M$62&gt;=ROW()-2)),Overview!$O$3:$O$62))</f>
        <v>14.08.26_24h</v>
      </c>
      <c r="C5" s="5" t="str">
        <f>IF(A5="","",LOOKUP(2,1/((Overview!$L$3:$L$62&lt;=ROW()-2)*(Overview!$M$3:$M$62&gt;=ROW()-2)),Overview!$Y$3:$Y$62))</f>
        <v>E1_14.08.26_24h</v>
      </c>
      <c r="D5" s="25">
        <f>IF(A5="","",ROW()-2-LOOKUP(2,1/((Overview!$L$3:$L$62&lt;=ROW()-2)*(Overview!$M$3:$M$62&gt;=ROW()-2)),Overview!$L$3:$L$62)+1)</f>
        <v>3</v>
      </c>
      <c r="E5" s="24" t="str">
        <f>IF(A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5" s="25" t="str">
        <f>IF(A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" s="113" t="str">
        <f>IF(A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" s="24" t="str">
        <f>IF(A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5" s="24">
        <f>IF(A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5" s="25" t="str">
        <f>IF(A5="","","image"&amp;D5&amp;LOOKUP(2,1/((Overview!$L$3:$L$62&lt;=ROW()-2)*(Overview!$M$3:$M$62&gt;=ROW()-2)),Overview!$X$3:$X$62))</f>
        <v>image3.jpg</v>
      </c>
      <c r="K5" s="113" t="str">
        <f t="shared" si="0"/>
        <v>E1_14.08.26_24h_I003</v>
      </c>
      <c r="L5" s="27" t="str">
        <f>IF(U5="","",IF(V5=1,U5,IF(X5=1,W5,LEFT(W5,LEN(W5)-LEN(LOOKUP(2,1/((Overview!$L$3:$L$62&lt;=ROW()-2)*(Overview!$M$3:$M$62&gt;=ROW()-2)),Overview!$X$3:$X$62)))&amp;IF(COUNTIF($W$3:W5,W5)=1,"","__"&amp;COUNTIF($W$3:W5,W5))&amp;LOOKUP(2,1/((Overview!$L$3:$L$62&lt;=ROW()-2)*(Overview!$M$3:$M$62&gt;=ROW()-2)),Overview!$X$3:$X$62))))</f>
        <v>14.08.26_SetA_24h_YPDA, 3.jpg</v>
      </c>
      <c r="M5" s="5" t="str">
        <f>IF(A5="","",LOOKUP(2,1/((Overview!$L$3:$L$62&lt;=ROW()-2)*(Overview!$M$3:$M$62&gt;=ROW()-2)),Overview!$U$3:$U$62))</f>
        <v>Arrangement 1</v>
      </c>
      <c r="N5" s="5" t="str">
        <f>IF(A5="","",LOOKUP(2,1/((Overview!$L$3:$L$62&lt;=ROW()-2)*(Overview!$M$3:$M$62&gt;=ROW()-2)),Overview!$V$3:$V$62))</f>
        <v>annotationSet 1</v>
      </c>
      <c r="O5" s="5" t="str">
        <f>IF(A5="","",LOOKUP(2,1/((Overview!$L$3:$L$62&lt;=ROW()-2)*(Overview!$M$3:$M$62&gt;=ROW()-2)),Overview!$B$3:$B$62))</f>
        <v>14.08.26</v>
      </c>
      <c r="P5" s="14">
        <f>IF(A5="","",LOOKUP(2,1/((Overview!$L$3:$L$62&lt;=ROW()-2)*(Overview!$M$3:$M$62&gt;=ROW()-2)),Overview!$S$3:$S$62))</f>
        <v>46248</v>
      </c>
      <c r="Q5" s="5" t="str">
        <f>IF(A5="","",LOOKUP(2,1/((Overview!$L$3:$L$62&lt;=ROW()-2)*(Overview!$M$3:$M$62&gt;=ROW()-2)),Overview!$C$3:$C$62))</f>
        <v>24h</v>
      </c>
      <c r="R5" s="22" t="str">
        <f>IF(E5="","",IF(AND(I5&lt;&gt;"",LOOKUP(2,1/((Overview!$L$3:$L$62&lt;=ROW()-2)*(Overview!$M$3:$M$62&gt;=ROW()-2)),Overview!$Z$3:$Z$62)&lt;&gt;""),LEFT(E5,LEN(E5)-LEN(I5))&amp;LOOKUP(2,1/((Overview!$L$3:$L$62&lt;=ROW()-2)*(Overview!$M$3:$M$62&gt;=ROW()-2)),Overview!$Z$3:$Z$62)&amp;" "&amp;I5,E5)&amp;IF(AND(Q5="",LOOKUP(2,1/((Overview!$L$3:$L$62&lt;=ROW()-2)*(Overview!$M$3:$M$62&gt;=ROW()-2)),Overview!$W$3:$W$62)=""),"",", "&amp;IF(Q5&lt;&gt;"",Q5,"")&amp;IF(AND(Q5&lt;&gt;"",LOOKUP(2,1/((Overview!$L$3:$L$62&lt;=ROW()-2)*(Overview!$M$3:$M$62&gt;=ROW()-2)),Overview!$W$3:$W$62)&lt;&gt;"")," ","")&amp;LOOKUP(2,1/((Overview!$L$3:$L$62&lt;=ROW()-2)*(Overview!$M$3:$M$62&gt;=ROW()-2)),Overview!$W$3:$W$62)))</f>
        <v>YPDA, 3, 24h growth</v>
      </c>
      <c r="S5" t="str">
        <f t="shared" si="1"/>
        <v>Duplicate resolved by Set</v>
      </c>
      <c r="T5" s="9" t="s">
        <v>47</v>
      </c>
      <c r="U5" s="10" t="str">
        <f>IF(A5="","",O5&amp;IF(LOOKUP(2,1/((Overview!$L$3:$L$62&lt;=ROW()-2)*(Overview!$M$3:$M$62&gt;=ROW()-2)),Overview!$T$3:$T$62)&lt;&gt;"","_"&amp;LOOKUP(2,1/((Overview!$L$3:$L$62&lt;=ROW()-2)*(Overview!$M$3:$M$62&gt;=ROW()-2)),Overview!$T$3:$T$62),"")&amp;IF(Q5&lt;&gt;"","_"&amp;Q5,"")&amp;IF(E5&lt;&gt;"","_"&amp;E5,"")&amp;LOOKUP(2,1/((Overview!$L$3:$L$62&lt;=ROW()-2)*(Overview!$M$3:$M$62&gt;=ROW()-2)),Overview!$X$3:$X$62))</f>
        <v>14.08.26_24h_YPDA, 3.jpg</v>
      </c>
      <c r="V5">
        <f t="shared" si="2"/>
        <v>2</v>
      </c>
      <c r="W5" t="str">
        <f>IF(U5="","",O5&amp;IF(LOOKUP(2,1/((Overview!$L$3:$L$62&lt;=ROW()-2)*(Overview!$M$3:$M$62&gt;=ROW()-2)),Overview!$T$3:$T$62)&lt;&gt;"","_"&amp;LOOKUP(2,1/((Overview!$L$3:$L$62&lt;=ROW()-2)*(Overview!$M$3:$M$62&gt;=ROW()-2)),Overview!$T$3:$T$62),"")&amp;"_"&amp;IF(LEFT(LOWER(TRIM(F5)),3)="set",TRIM(F5),"Set"&amp;TRIM(F5))&amp;IF(Q5&lt;&gt;"","_"&amp;Q5,"")&amp;IF(E5&lt;&gt;"","_"&amp;E5,"")&amp;LOOKUP(2,1/((Overview!$L$3:$L$62&lt;=ROW()-2)*(Overview!$M$3:$M$62&gt;=ROW()-2)),Overview!$X$3:$X$62))</f>
        <v>14.08.26_SetA_24h_YPDA, 3.jpg</v>
      </c>
      <c r="X5">
        <f t="shared" si="3"/>
        <v>1</v>
      </c>
      <c r="AY5" s="15" t="s">
        <v>46</v>
      </c>
      <c r="AZ5" s="15">
        <v>152</v>
      </c>
    </row>
    <row r="6" spans="1:52" ht="13.9" thickBot="1">
      <c r="A6" s="5">
        <f>IF(ROW()-2&gt;SUMIFS(Overview!$K$3:$K$62,Overview!$N$3:$N$62,"OK"),"",LOOKUP(2,1/((Overview!$L$3:$L$62&lt;=ROW()-2)*(Overview!$M$3:$M$62&gt;=ROW()-2)),Overview!$R$3:$R$62))</f>
        <v>1</v>
      </c>
      <c r="B6" s="5" t="str">
        <f>IF(A6="","",LOOKUP(2,1/((Overview!$L$3:$L$62&lt;=ROW()-2)*(Overview!$M$3:$M$62&gt;=ROW()-2)),Overview!$O$3:$O$62))</f>
        <v>14.08.26_24h</v>
      </c>
      <c r="C6" s="5" t="str">
        <f>IF(A6="","",LOOKUP(2,1/((Overview!$L$3:$L$62&lt;=ROW()-2)*(Overview!$M$3:$M$62&gt;=ROW()-2)),Overview!$Y$3:$Y$62))</f>
        <v>E1_14.08.26_24h</v>
      </c>
      <c r="D6" s="25">
        <f>IF(A6="","",ROW()-2-LOOKUP(2,1/((Overview!$L$3:$L$62&lt;=ROW()-2)*(Overview!$M$3:$M$62&gt;=ROW()-2)),Overview!$L$3:$L$62)+1)</f>
        <v>4</v>
      </c>
      <c r="E6" s="24" t="str">
        <f>IF(A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6" s="25" t="str">
        <f>IF(A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6" s="113" t="str">
        <f>IF(A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" s="24" t="str">
        <f>IF(A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6" s="24">
        <f>IF(A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6" s="25" t="str">
        <f>IF(A6="","","image"&amp;D6&amp;LOOKUP(2,1/((Overview!$L$3:$L$62&lt;=ROW()-2)*(Overview!$M$3:$M$62&gt;=ROW()-2)),Overview!$X$3:$X$62))</f>
        <v>image4.jpg</v>
      </c>
      <c r="K6" s="113" t="str">
        <f t="shared" si="0"/>
        <v>E1_14.08.26_24h_I004</v>
      </c>
      <c r="L6" s="27" t="str">
        <f>IF(U6="","",IF(V6=1,U6,IF(X6=1,W6,LEFT(W6,LEN(W6)-LEN(LOOKUP(2,1/((Overview!$L$3:$L$62&lt;=ROW()-2)*(Overview!$M$3:$M$62&gt;=ROW()-2)),Overview!$X$3:$X$62)))&amp;IF(COUNTIF($W$3:W6,W6)=1,"","__"&amp;COUNTIF($W$3:W6,W6))&amp;LOOKUP(2,1/((Overview!$L$3:$L$62&lt;=ROW()-2)*(Overview!$M$3:$M$62&gt;=ROW()-2)),Overview!$X$3:$X$62))))</f>
        <v>14.08.26_SetA_24h_YPDA, 4.jpg</v>
      </c>
      <c r="M6" s="5" t="str">
        <f>IF(A6="","",LOOKUP(2,1/((Overview!$L$3:$L$62&lt;=ROW()-2)*(Overview!$M$3:$M$62&gt;=ROW()-2)),Overview!$U$3:$U$62))</f>
        <v>Arrangement 1</v>
      </c>
      <c r="N6" s="5" t="str">
        <f>IF(A6="","",LOOKUP(2,1/((Overview!$L$3:$L$62&lt;=ROW()-2)*(Overview!$M$3:$M$62&gt;=ROW()-2)),Overview!$V$3:$V$62))</f>
        <v>annotationSet 1</v>
      </c>
      <c r="O6" s="5" t="str">
        <f>IF(A6="","",LOOKUP(2,1/((Overview!$L$3:$L$62&lt;=ROW()-2)*(Overview!$M$3:$M$62&gt;=ROW()-2)),Overview!$B$3:$B$62))</f>
        <v>14.08.26</v>
      </c>
      <c r="P6" s="14">
        <f>IF(A6="","",LOOKUP(2,1/((Overview!$L$3:$L$62&lt;=ROW()-2)*(Overview!$M$3:$M$62&gt;=ROW()-2)),Overview!$S$3:$S$62))</f>
        <v>46248</v>
      </c>
      <c r="Q6" s="5" t="str">
        <f>IF(A6="","",LOOKUP(2,1/((Overview!$L$3:$L$62&lt;=ROW()-2)*(Overview!$M$3:$M$62&gt;=ROW()-2)),Overview!$C$3:$C$62))</f>
        <v>24h</v>
      </c>
      <c r="R6" s="22" t="str">
        <f>IF(E6="","",IF(AND(I6&lt;&gt;"",LOOKUP(2,1/((Overview!$L$3:$L$62&lt;=ROW()-2)*(Overview!$M$3:$M$62&gt;=ROW()-2)),Overview!$Z$3:$Z$62)&lt;&gt;""),LEFT(E6,LEN(E6)-LEN(I6))&amp;LOOKUP(2,1/((Overview!$L$3:$L$62&lt;=ROW()-2)*(Overview!$M$3:$M$62&gt;=ROW()-2)),Overview!$Z$3:$Z$62)&amp;" "&amp;I6,E6)&amp;IF(AND(Q6="",LOOKUP(2,1/((Overview!$L$3:$L$62&lt;=ROW()-2)*(Overview!$M$3:$M$62&gt;=ROW()-2)),Overview!$W$3:$W$62)=""),"",", "&amp;IF(Q6&lt;&gt;"",Q6,"")&amp;IF(AND(Q6&lt;&gt;"",LOOKUP(2,1/((Overview!$L$3:$L$62&lt;=ROW()-2)*(Overview!$M$3:$M$62&gt;=ROW()-2)),Overview!$W$3:$W$62)&lt;&gt;"")," ","")&amp;LOOKUP(2,1/((Overview!$L$3:$L$62&lt;=ROW()-2)*(Overview!$M$3:$M$62&gt;=ROW()-2)),Overview!$W$3:$W$62)))</f>
        <v>YPDA, 4, 24h growth</v>
      </c>
      <c r="S6" t="str">
        <f t="shared" si="1"/>
        <v>Duplicate resolved by Set</v>
      </c>
      <c r="T6" s="9"/>
      <c r="U6" s="10" t="str">
        <f>IF(A6="","",O6&amp;IF(LOOKUP(2,1/((Overview!$L$3:$L$62&lt;=ROW()-2)*(Overview!$M$3:$M$62&gt;=ROW()-2)),Overview!$T$3:$T$62)&lt;&gt;"","_"&amp;LOOKUP(2,1/((Overview!$L$3:$L$62&lt;=ROW()-2)*(Overview!$M$3:$M$62&gt;=ROW()-2)),Overview!$T$3:$T$62),"")&amp;IF(Q6&lt;&gt;"","_"&amp;Q6,"")&amp;IF(E6&lt;&gt;"","_"&amp;E6,"")&amp;LOOKUP(2,1/((Overview!$L$3:$L$62&lt;=ROW()-2)*(Overview!$M$3:$M$62&gt;=ROW()-2)),Overview!$X$3:$X$62))</f>
        <v>14.08.26_24h_YPDA, 4.jpg</v>
      </c>
      <c r="V6">
        <f t="shared" si="2"/>
        <v>2</v>
      </c>
      <c r="W6" t="str">
        <f>IF(U6="","",O6&amp;IF(LOOKUP(2,1/((Overview!$L$3:$L$62&lt;=ROW()-2)*(Overview!$M$3:$M$62&gt;=ROW()-2)),Overview!$T$3:$T$62)&lt;&gt;"","_"&amp;LOOKUP(2,1/((Overview!$L$3:$L$62&lt;=ROW()-2)*(Overview!$M$3:$M$62&gt;=ROW()-2)),Overview!$T$3:$T$62),"")&amp;"_"&amp;IF(LEFT(LOWER(TRIM(F6)),3)="set",TRIM(F6),"Set"&amp;TRIM(F6))&amp;IF(Q6&lt;&gt;"","_"&amp;Q6,"")&amp;IF(E6&lt;&gt;"","_"&amp;E6,"")&amp;LOOKUP(2,1/((Overview!$L$3:$L$62&lt;=ROW()-2)*(Overview!$M$3:$M$62&gt;=ROW()-2)),Overview!$X$3:$X$62))</f>
        <v>14.08.26_SetA_24h_YPDA, 4.jpg</v>
      </c>
      <c r="X6">
        <f t="shared" si="3"/>
        <v>1</v>
      </c>
    </row>
    <row r="7" spans="1:52" ht="13.9" thickBot="1">
      <c r="A7" s="5">
        <f>IF(ROW()-2&gt;SUMIFS(Overview!$K$3:$K$62,Overview!$N$3:$N$62,"OK"),"",LOOKUP(2,1/((Overview!$L$3:$L$62&lt;=ROW()-2)*(Overview!$M$3:$M$62&gt;=ROW()-2)),Overview!$R$3:$R$62))</f>
        <v>1</v>
      </c>
      <c r="B7" s="5" t="str">
        <f>IF(A7="","",LOOKUP(2,1/((Overview!$L$3:$L$62&lt;=ROW()-2)*(Overview!$M$3:$M$62&gt;=ROW()-2)),Overview!$O$3:$O$62))</f>
        <v>14.08.26_24h</v>
      </c>
      <c r="C7" s="5" t="str">
        <f>IF(A7="","",LOOKUP(2,1/((Overview!$L$3:$L$62&lt;=ROW()-2)*(Overview!$M$3:$M$62&gt;=ROW()-2)),Overview!$Y$3:$Y$62))</f>
        <v>E1_14.08.26_24h</v>
      </c>
      <c r="D7" s="25">
        <f>IF(A7="","",ROW()-2-LOOKUP(2,1/((Overview!$L$3:$L$62&lt;=ROW()-2)*(Overview!$M$3:$M$62&gt;=ROW()-2)),Overview!$L$3:$L$62)+1)</f>
        <v>5</v>
      </c>
      <c r="E7" s="30" t="str">
        <f>IF(A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7" s="25" t="str">
        <f>IF(A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7" s="113" t="str">
        <f>IF(A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" s="30" t="str">
        <f>IF(A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7" s="30">
        <f>IF(A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7" s="25" t="str">
        <f>IF(A7="","","image"&amp;D7&amp;LOOKUP(2,1/((Overview!$L$3:$L$62&lt;=ROW()-2)*(Overview!$M$3:$M$62&gt;=ROW()-2)),Overview!$X$3:$X$62))</f>
        <v>image5.jpg</v>
      </c>
      <c r="K7" s="113" t="str">
        <f t="shared" si="0"/>
        <v>E1_14.08.26_24h_I005</v>
      </c>
      <c r="L7" s="27" t="str">
        <f>IF(U7="","",IF(V7=1,U7,IF(X7=1,W7,LEFT(W7,LEN(W7)-LEN(LOOKUP(2,1/((Overview!$L$3:$L$62&lt;=ROW()-2)*(Overview!$M$3:$M$62&gt;=ROW()-2)),Overview!$X$3:$X$62)))&amp;IF(COUNTIF($W$3:W7,W7)=1,"","__"&amp;COUNTIF($W$3:W7,W7))&amp;LOOKUP(2,1/((Overview!$L$3:$L$62&lt;=ROW()-2)*(Overview!$M$3:$M$62&gt;=ROW()-2)),Overview!$X$3:$X$62))))</f>
        <v>14.08.26_SetA_24h_YPDA + heat, 1.jpg</v>
      </c>
      <c r="M7" s="5" t="str">
        <f>IF(A7="","",LOOKUP(2,1/((Overview!$L$3:$L$62&lt;=ROW()-2)*(Overview!$M$3:$M$62&gt;=ROW()-2)),Overview!$U$3:$U$62))</f>
        <v>Arrangement 1</v>
      </c>
      <c r="N7" s="5" t="str">
        <f>IF(A7="","",LOOKUP(2,1/((Overview!$L$3:$L$62&lt;=ROW()-2)*(Overview!$M$3:$M$62&gt;=ROW()-2)),Overview!$V$3:$V$62))</f>
        <v>annotationSet 1</v>
      </c>
      <c r="O7" s="5" t="str">
        <f>IF(A7="","",LOOKUP(2,1/((Overview!$L$3:$L$62&lt;=ROW()-2)*(Overview!$M$3:$M$62&gt;=ROW()-2)),Overview!$B$3:$B$62))</f>
        <v>14.08.26</v>
      </c>
      <c r="P7" s="14">
        <f>IF(A7="","",LOOKUP(2,1/((Overview!$L$3:$L$62&lt;=ROW()-2)*(Overview!$M$3:$M$62&gt;=ROW()-2)),Overview!$S$3:$S$62))</f>
        <v>46248</v>
      </c>
      <c r="Q7" s="5" t="str">
        <f>IF(A7="","",LOOKUP(2,1/((Overview!$L$3:$L$62&lt;=ROW()-2)*(Overview!$M$3:$M$62&gt;=ROW()-2)),Overview!$C$3:$C$62))</f>
        <v>24h</v>
      </c>
      <c r="R7" s="22" t="str">
        <f>IF(E7="","",IF(AND(I7&lt;&gt;"",LOOKUP(2,1/((Overview!$L$3:$L$62&lt;=ROW()-2)*(Overview!$M$3:$M$62&gt;=ROW()-2)),Overview!$Z$3:$Z$62)&lt;&gt;""),LEFT(E7,LEN(E7)-LEN(I7))&amp;LOOKUP(2,1/((Overview!$L$3:$L$62&lt;=ROW()-2)*(Overview!$M$3:$M$62&gt;=ROW()-2)),Overview!$Z$3:$Z$62)&amp;" "&amp;I7,E7)&amp;IF(AND(Q7="",LOOKUP(2,1/((Overview!$L$3:$L$62&lt;=ROW()-2)*(Overview!$M$3:$M$62&gt;=ROW()-2)),Overview!$W$3:$W$62)=""),"",", "&amp;IF(Q7&lt;&gt;"",Q7,"")&amp;IF(AND(Q7&lt;&gt;"",LOOKUP(2,1/((Overview!$L$3:$L$62&lt;=ROW()-2)*(Overview!$M$3:$M$62&gt;=ROW()-2)),Overview!$W$3:$W$62)&lt;&gt;"")," ","")&amp;LOOKUP(2,1/((Overview!$L$3:$L$62&lt;=ROW()-2)*(Overview!$M$3:$M$62&gt;=ROW()-2)),Overview!$W$3:$W$62)))</f>
        <v>YPDA + heat, 1, 24h growth</v>
      </c>
      <c r="S7" t="str">
        <f t="shared" si="1"/>
        <v>Duplicate resolved by Set</v>
      </c>
      <c r="T7" s="9"/>
      <c r="U7" s="10" t="str">
        <f>IF(A7="","",O7&amp;IF(LOOKUP(2,1/((Overview!$L$3:$L$62&lt;=ROW()-2)*(Overview!$M$3:$M$62&gt;=ROW()-2)),Overview!$T$3:$T$62)&lt;&gt;"","_"&amp;LOOKUP(2,1/((Overview!$L$3:$L$62&lt;=ROW()-2)*(Overview!$M$3:$M$62&gt;=ROW()-2)),Overview!$T$3:$T$62),"")&amp;IF(Q7&lt;&gt;"","_"&amp;Q7,"")&amp;IF(E7&lt;&gt;"","_"&amp;E7,"")&amp;LOOKUP(2,1/((Overview!$L$3:$L$62&lt;=ROW()-2)*(Overview!$M$3:$M$62&gt;=ROW()-2)),Overview!$X$3:$X$62))</f>
        <v>14.08.26_24h_YPDA + heat, 1.jpg</v>
      </c>
      <c r="V7">
        <f t="shared" si="2"/>
        <v>2</v>
      </c>
      <c r="W7" t="str">
        <f>IF(U7="","",O7&amp;IF(LOOKUP(2,1/((Overview!$L$3:$L$62&lt;=ROW()-2)*(Overview!$M$3:$M$62&gt;=ROW()-2)),Overview!$T$3:$T$62)&lt;&gt;"","_"&amp;LOOKUP(2,1/((Overview!$L$3:$L$62&lt;=ROW()-2)*(Overview!$M$3:$M$62&gt;=ROW()-2)),Overview!$T$3:$T$62),"")&amp;"_"&amp;IF(LEFT(LOWER(TRIM(F7)),3)="set",TRIM(F7),"Set"&amp;TRIM(F7))&amp;IF(Q7&lt;&gt;"","_"&amp;Q7,"")&amp;IF(E7&lt;&gt;"","_"&amp;E7,"")&amp;LOOKUP(2,1/((Overview!$L$3:$L$62&lt;=ROW()-2)*(Overview!$M$3:$M$62&gt;=ROW()-2)),Overview!$X$3:$X$62))</f>
        <v>14.08.26_SetA_24h_YPDA + heat, 1.jpg</v>
      </c>
      <c r="X7">
        <f t="shared" si="3"/>
        <v>1</v>
      </c>
    </row>
    <row r="8" spans="1:52" ht="13.9" thickBot="1">
      <c r="A8" s="5">
        <f>IF(ROW()-2&gt;SUMIFS(Overview!$K$3:$K$62,Overview!$N$3:$N$62,"OK"),"",LOOKUP(2,1/((Overview!$L$3:$L$62&lt;=ROW()-2)*(Overview!$M$3:$M$62&gt;=ROW()-2)),Overview!$R$3:$R$62))</f>
        <v>1</v>
      </c>
      <c r="B8" s="5" t="str">
        <f>IF(A8="","",LOOKUP(2,1/((Overview!$L$3:$L$62&lt;=ROW()-2)*(Overview!$M$3:$M$62&gt;=ROW()-2)),Overview!$O$3:$O$62))</f>
        <v>14.08.26_24h</v>
      </c>
      <c r="C8" s="5" t="str">
        <f>IF(A8="","",LOOKUP(2,1/((Overview!$L$3:$L$62&lt;=ROW()-2)*(Overview!$M$3:$M$62&gt;=ROW()-2)),Overview!$Y$3:$Y$62))</f>
        <v>E1_14.08.26_24h</v>
      </c>
      <c r="D8" s="25">
        <f>IF(A8="","",ROW()-2-LOOKUP(2,1/((Overview!$L$3:$L$62&lt;=ROW()-2)*(Overview!$M$3:$M$62&gt;=ROW()-2)),Overview!$L$3:$L$62)+1)</f>
        <v>6</v>
      </c>
      <c r="E8" s="30" t="str">
        <f>IF(A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8" s="25" t="str">
        <f>IF(A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" s="113" t="str">
        <f>IF(A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" s="30" t="str">
        <f>IF(A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8" s="30">
        <f>IF(A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8" s="25" t="str">
        <f>IF(A8="","","image"&amp;D8&amp;LOOKUP(2,1/((Overview!$L$3:$L$62&lt;=ROW()-2)*(Overview!$M$3:$M$62&gt;=ROW()-2)),Overview!$X$3:$X$62))</f>
        <v>image6.jpg</v>
      </c>
      <c r="K8" s="113" t="str">
        <f t="shared" si="0"/>
        <v>E1_14.08.26_24h_I006</v>
      </c>
      <c r="L8" s="27" t="str">
        <f>IF(U8="","",IF(V8=1,U8,IF(X8=1,W8,LEFT(W8,LEN(W8)-LEN(LOOKUP(2,1/((Overview!$L$3:$L$62&lt;=ROW()-2)*(Overview!$M$3:$M$62&gt;=ROW()-2)),Overview!$X$3:$X$62)))&amp;IF(COUNTIF($W$3:W8,W8)=1,"","__"&amp;COUNTIF($W$3:W8,W8))&amp;LOOKUP(2,1/((Overview!$L$3:$L$62&lt;=ROW()-2)*(Overview!$M$3:$M$62&gt;=ROW()-2)),Overview!$X$3:$X$62))))</f>
        <v>14.08.26_SetA_24h_YPDA + heat, 2.jpg</v>
      </c>
      <c r="M8" s="5" t="str">
        <f>IF(A8="","",LOOKUP(2,1/((Overview!$L$3:$L$62&lt;=ROW()-2)*(Overview!$M$3:$M$62&gt;=ROW()-2)),Overview!$U$3:$U$62))</f>
        <v>Arrangement 1</v>
      </c>
      <c r="N8" s="5" t="str">
        <f>IF(A8="","",LOOKUP(2,1/((Overview!$L$3:$L$62&lt;=ROW()-2)*(Overview!$M$3:$M$62&gt;=ROW()-2)),Overview!$V$3:$V$62))</f>
        <v>annotationSet 1</v>
      </c>
      <c r="O8" s="5" t="str">
        <f>IF(A8="","",LOOKUP(2,1/((Overview!$L$3:$L$62&lt;=ROW()-2)*(Overview!$M$3:$M$62&gt;=ROW()-2)),Overview!$B$3:$B$62))</f>
        <v>14.08.26</v>
      </c>
      <c r="P8" s="14">
        <f>IF(A8="","",LOOKUP(2,1/((Overview!$L$3:$L$62&lt;=ROW()-2)*(Overview!$M$3:$M$62&gt;=ROW()-2)),Overview!$S$3:$S$62))</f>
        <v>46248</v>
      </c>
      <c r="Q8" s="5" t="str">
        <f>IF(A8="","",LOOKUP(2,1/((Overview!$L$3:$L$62&lt;=ROW()-2)*(Overview!$M$3:$M$62&gt;=ROW()-2)),Overview!$C$3:$C$62))</f>
        <v>24h</v>
      </c>
      <c r="R8" s="22" t="str">
        <f>IF(E8="","",IF(AND(I8&lt;&gt;"",LOOKUP(2,1/((Overview!$L$3:$L$62&lt;=ROW()-2)*(Overview!$M$3:$M$62&gt;=ROW()-2)),Overview!$Z$3:$Z$62)&lt;&gt;""),LEFT(E8,LEN(E8)-LEN(I8))&amp;LOOKUP(2,1/((Overview!$L$3:$L$62&lt;=ROW()-2)*(Overview!$M$3:$M$62&gt;=ROW()-2)),Overview!$Z$3:$Z$62)&amp;" "&amp;I8,E8)&amp;IF(AND(Q8="",LOOKUP(2,1/((Overview!$L$3:$L$62&lt;=ROW()-2)*(Overview!$M$3:$M$62&gt;=ROW()-2)),Overview!$W$3:$W$62)=""),"",", "&amp;IF(Q8&lt;&gt;"",Q8,"")&amp;IF(AND(Q8&lt;&gt;"",LOOKUP(2,1/((Overview!$L$3:$L$62&lt;=ROW()-2)*(Overview!$M$3:$M$62&gt;=ROW()-2)),Overview!$W$3:$W$62)&lt;&gt;"")," ","")&amp;LOOKUP(2,1/((Overview!$L$3:$L$62&lt;=ROW()-2)*(Overview!$M$3:$M$62&gt;=ROW()-2)),Overview!$W$3:$W$62)))</f>
        <v>YPDA + heat, 2, 24h growth</v>
      </c>
      <c r="S8" t="str">
        <f t="shared" si="1"/>
        <v>Duplicate resolved by Set</v>
      </c>
      <c r="T8" s="9"/>
      <c r="U8" s="10" t="str">
        <f>IF(A8="","",O8&amp;IF(LOOKUP(2,1/((Overview!$L$3:$L$62&lt;=ROW()-2)*(Overview!$M$3:$M$62&gt;=ROW()-2)),Overview!$T$3:$T$62)&lt;&gt;"","_"&amp;LOOKUP(2,1/((Overview!$L$3:$L$62&lt;=ROW()-2)*(Overview!$M$3:$M$62&gt;=ROW()-2)),Overview!$T$3:$T$62),"")&amp;IF(Q8&lt;&gt;"","_"&amp;Q8,"")&amp;IF(E8&lt;&gt;"","_"&amp;E8,"")&amp;LOOKUP(2,1/((Overview!$L$3:$L$62&lt;=ROW()-2)*(Overview!$M$3:$M$62&gt;=ROW()-2)),Overview!$X$3:$X$62))</f>
        <v>14.08.26_24h_YPDA + heat, 2.jpg</v>
      </c>
      <c r="V8">
        <f t="shared" si="2"/>
        <v>2</v>
      </c>
      <c r="W8" t="str">
        <f>IF(U8="","",O8&amp;IF(LOOKUP(2,1/((Overview!$L$3:$L$62&lt;=ROW()-2)*(Overview!$M$3:$M$62&gt;=ROW()-2)),Overview!$T$3:$T$62)&lt;&gt;"","_"&amp;LOOKUP(2,1/((Overview!$L$3:$L$62&lt;=ROW()-2)*(Overview!$M$3:$M$62&gt;=ROW()-2)),Overview!$T$3:$T$62),"")&amp;"_"&amp;IF(LEFT(LOWER(TRIM(F8)),3)="set",TRIM(F8),"Set"&amp;TRIM(F8))&amp;IF(Q8&lt;&gt;"","_"&amp;Q8,"")&amp;IF(E8&lt;&gt;"","_"&amp;E8,"")&amp;LOOKUP(2,1/((Overview!$L$3:$L$62&lt;=ROW()-2)*(Overview!$M$3:$M$62&gt;=ROW()-2)),Overview!$X$3:$X$62))</f>
        <v>14.08.26_SetA_24h_YPDA + heat, 2.jpg</v>
      </c>
      <c r="X8">
        <f t="shared" si="3"/>
        <v>1</v>
      </c>
    </row>
    <row r="9" spans="1:52" ht="13.9" thickBot="1">
      <c r="A9" s="5">
        <f>IF(ROW()-2&gt;SUMIFS(Overview!$K$3:$K$62,Overview!$N$3:$N$62,"OK"),"",LOOKUP(2,1/((Overview!$L$3:$L$62&lt;=ROW()-2)*(Overview!$M$3:$M$62&gt;=ROW()-2)),Overview!$R$3:$R$62))</f>
        <v>1</v>
      </c>
      <c r="B9" s="5" t="str">
        <f>IF(A9="","",LOOKUP(2,1/((Overview!$L$3:$L$62&lt;=ROW()-2)*(Overview!$M$3:$M$62&gt;=ROW()-2)),Overview!$O$3:$O$62))</f>
        <v>14.08.26_24h</v>
      </c>
      <c r="C9" s="5" t="str">
        <f>IF(A9="","",LOOKUP(2,1/((Overview!$L$3:$L$62&lt;=ROW()-2)*(Overview!$M$3:$M$62&gt;=ROW()-2)),Overview!$Y$3:$Y$62))</f>
        <v>E1_14.08.26_24h</v>
      </c>
      <c r="D9" s="25">
        <f>IF(A9="","",ROW()-2-LOOKUP(2,1/((Overview!$L$3:$L$62&lt;=ROW()-2)*(Overview!$M$3:$M$62&gt;=ROW()-2)),Overview!$L$3:$L$62)+1)</f>
        <v>7</v>
      </c>
      <c r="E9" s="30" t="str">
        <f>IF(A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9" s="25" t="str">
        <f>IF(A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9" s="113" t="str">
        <f>IF(A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" s="30" t="str">
        <f>IF(A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9" s="30">
        <f>IF(A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9" s="25" t="str">
        <f>IF(A9="","","image"&amp;D9&amp;LOOKUP(2,1/((Overview!$L$3:$L$62&lt;=ROW()-2)*(Overview!$M$3:$M$62&gt;=ROW()-2)),Overview!$X$3:$X$62))</f>
        <v>image7.jpg</v>
      </c>
      <c r="K9" s="113" t="str">
        <f t="shared" si="0"/>
        <v>E1_14.08.26_24h_I007</v>
      </c>
      <c r="L9" s="27" t="str">
        <f>IF(U9="","",IF(V9=1,U9,IF(X9=1,W9,LEFT(W9,LEN(W9)-LEN(LOOKUP(2,1/((Overview!$L$3:$L$62&lt;=ROW()-2)*(Overview!$M$3:$M$62&gt;=ROW()-2)),Overview!$X$3:$X$62)))&amp;IF(COUNTIF($W$3:W9,W9)=1,"","__"&amp;COUNTIF($W$3:W9,W9))&amp;LOOKUP(2,1/((Overview!$L$3:$L$62&lt;=ROW()-2)*(Overview!$M$3:$M$62&gt;=ROW()-2)),Overview!$X$3:$X$62))))</f>
        <v>14.08.26_SetA_24h_YPDA + heat, 3.jpg</v>
      </c>
      <c r="M9" s="5" t="str">
        <f>IF(A9="","",LOOKUP(2,1/((Overview!$L$3:$L$62&lt;=ROW()-2)*(Overview!$M$3:$M$62&gt;=ROW()-2)),Overview!$U$3:$U$62))</f>
        <v>Arrangement 1</v>
      </c>
      <c r="N9" s="5" t="str">
        <f>IF(A9="","",LOOKUP(2,1/((Overview!$L$3:$L$62&lt;=ROW()-2)*(Overview!$M$3:$M$62&gt;=ROW()-2)),Overview!$V$3:$V$62))</f>
        <v>annotationSet 1</v>
      </c>
      <c r="O9" s="5" t="str">
        <f>IF(A9="","",LOOKUP(2,1/((Overview!$L$3:$L$62&lt;=ROW()-2)*(Overview!$M$3:$M$62&gt;=ROW()-2)),Overview!$B$3:$B$62))</f>
        <v>14.08.26</v>
      </c>
      <c r="P9" s="14">
        <f>IF(A9="","",LOOKUP(2,1/((Overview!$L$3:$L$62&lt;=ROW()-2)*(Overview!$M$3:$M$62&gt;=ROW()-2)),Overview!$S$3:$S$62))</f>
        <v>46248</v>
      </c>
      <c r="Q9" s="5" t="str">
        <f>IF(A9="","",LOOKUP(2,1/((Overview!$L$3:$L$62&lt;=ROW()-2)*(Overview!$M$3:$M$62&gt;=ROW()-2)),Overview!$C$3:$C$62))</f>
        <v>24h</v>
      </c>
      <c r="R9" s="22" t="str">
        <f>IF(E9="","",IF(AND(I9&lt;&gt;"",LOOKUP(2,1/((Overview!$L$3:$L$62&lt;=ROW()-2)*(Overview!$M$3:$M$62&gt;=ROW()-2)),Overview!$Z$3:$Z$62)&lt;&gt;""),LEFT(E9,LEN(E9)-LEN(I9))&amp;LOOKUP(2,1/((Overview!$L$3:$L$62&lt;=ROW()-2)*(Overview!$M$3:$M$62&gt;=ROW()-2)),Overview!$Z$3:$Z$62)&amp;" "&amp;I9,E9)&amp;IF(AND(Q9="",LOOKUP(2,1/((Overview!$L$3:$L$62&lt;=ROW()-2)*(Overview!$M$3:$M$62&gt;=ROW()-2)),Overview!$W$3:$W$62)=""),"",", "&amp;IF(Q9&lt;&gt;"",Q9,"")&amp;IF(AND(Q9&lt;&gt;"",LOOKUP(2,1/((Overview!$L$3:$L$62&lt;=ROW()-2)*(Overview!$M$3:$M$62&gt;=ROW()-2)),Overview!$W$3:$W$62)&lt;&gt;"")," ","")&amp;LOOKUP(2,1/((Overview!$L$3:$L$62&lt;=ROW()-2)*(Overview!$M$3:$M$62&gt;=ROW()-2)),Overview!$W$3:$W$62)))</f>
        <v>YPDA + heat, 3, 24h growth</v>
      </c>
      <c r="S9" t="str">
        <f t="shared" si="1"/>
        <v>Duplicate resolved by Set</v>
      </c>
      <c r="T9" s="9"/>
      <c r="U9" s="10" t="str">
        <f>IF(A9="","",O9&amp;IF(LOOKUP(2,1/((Overview!$L$3:$L$62&lt;=ROW()-2)*(Overview!$M$3:$M$62&gt;=ROW()-2)),Overview!$T$3:$T$62)&lt;&gt;"","_"&amp;LOOKUP(2,1/((Overview!$L$3:$L$62&lt;=ROW()-2)*(Overview!$M$3:$M$62&gt;=ROW()-2)),Overview!$T$3:$T$62),"")&amp;IF(Q9&lt;&gt;"","_"&amp;Q9,"")&amp;IF(E9&lt;&gt;"","_"&amp;E9,"")&amp;LOOKUP(2,1/((Overview!$L$3:$L$62&lt;=ROW()-2)*(Overview!$M$3:$M$62&gt;=ROW()-2)),Overview!$X$3:$X$62))</f>
        <v>14.08.26_24h_YPDA + heat, 3.jpg</v>
      </c>
      <c r="V9">
        <f t="shared" si="2"/>
        <v>2</v>
      </c>
      <c r="W9" t="str">
        <f>IF(U9="","",O9&amp;IF(LOOKUP(2,1/((Overview!$L$3:$L$62&lt;=ROW()-2)*(Overview!$M$3:$M$62&gt;=ROW()-2)),Overview!$T$3:$T$62)&lt;&gt;"","_"&amp;LOOKUP(2,1/((Overview!$L$3:$L$62&lt;=ROW()-2)*(Overview!$M$3:$M$62&gt;=ROW()-2)),Overview!$T$3:$T$62),"")&amp;"_"&amp;IF(LEFT(LOWER(TRIM(F9)),3)="set",TRIM(F9),"Set"&amp;TRIM(F9))&amp;IF(Q9&lt;&gt;"","_"&amp;Q9,"")&amp;IF(E9&lt;&gt;"","_"&amp;E9,"")&amp;LOOKUP(2,1/((Overview!$L$3:$L$62&lt;=ROW()-2)*(Overview!$M$3:$M$62&gt;=ROW()-2)),Overview!$X$3:$X$62))</f>
        <v>14.08.26_SetA_24h_YPDA + heat, 3.jpg</v>
      </c>
      <c r="X9">
        <f t="shared" si="3"/>
        <v>1</v>
      </c>
    </row>
    <row r="10" spans="1:52" ht="13.9" thickBot="1">
      <c r="A10" s="5">
        <f>IF(ROW()-2&gt;SUMIFS(Overview!$K$3:$K$62,Overview!$N$3:$N$62,"OK"),"",LOOKUP(2,1/((Overview!$L$3:$L$62&lt;=ROW()-2)*(Overview!$M$3:$M$62&gt;=ROW()-2)),Overview!$R$3:$R$62))</f>
        <v>1</v>
      </c>
      <c r="B10" s="5" t="str">
        <f>IF(A10="","",LOOKUP(2,1/((Overview!$L$3:$L$62&lt;=ROW()-2)*(Overview!$M$3:$M$62&gt;=ROW()-2)),Overview!$O$3:$O$62))</f>
        <v>14.08.26_24h</v>
      </c>
      <c r="C10" s="5" t="str">
        <f>IF(A10="","",LOOKUP(2,1/((Overview!$L$3:$L$62&lt;=ROW()-2)*(Overview!$M$3:$M$62&gt;=ROW()-2)),Overview!$Y$3:$Y$62))</f>
        <v>E1_14.08.26_24h</v>
      </c>
      <c r="D10" s="25">
        <f>IF(A10="","",ROW()-2-LOOKUP(2,1/((Overview!$L$3:$L$62&lt;=ROW()-2)*(Overview!$M$3:$M$62&gt;=ROW()-2)),Overview!$L$3:$L$62)+1)</f>
        <v>8</v>
      </c>
      <c r="E10" s="30" t="str">
        <f>IF(A10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10" s="25" t="str">
        <f>IF(A10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10" s="113" t="str">
        <f>IF(A10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0" s="30" t="str">
        <f>IF(A10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10" s="30">
        <f>IF(A10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10" s="25" t="str">
        <f>IF(A10="","","image"&amp;D10&amp;LOOKUP(2,1/((Overview!$L$3:$L$62&lt;=ROW()-2)*(Overview!$M$3:$M$62&gt;=ROW()-2)),Overview!$X$3:$X$62))</f>
        <v>image8.jpg</v>
      </c>
      <c r="K10" s="113" t="str">
        <f t="shared" si="0"/>
        <v>E1_14.08.26_24h_I008</v>
      </c>
      <c r="L10" s="27" t="str">
        <f>IF(U10="","",IF(V10=1,U10,IF(X10=1,W10,LEFT(W10,LEN(W10)-LEN(LOOKUP(2,1/((Overview!$L$3:$L$62&lt;=ROW()-2)*(Overview!$M$3:$M$62&gt;=ROW()-2)),Overview!$X$3:$X$62)))&amp;IF(COUNTIF($W$3:W10,W10)=1,"","__"&amp;COUNTIF($W$3:W10,W10))&amp;LOOKUP(2,1/((Overview!$L$3:$L$62&lt;=ROW()-2)*(Overview!$M$3:$M$62&gt;=ROW()-2)),Overview!$X$3:$X$62))))</f>
        <v>14.08.26_SetA_24h_YPDA + heat, 4.jpg</v>
      </c>
      <c r="M10" s="5" t="str">
        <f>IF(A10="","",LOOKUP(2,1/((Overview!$L$3:$L$62&lt;=ROW()-2)*(Overview!$M$3:$M$62&gt;=ROW()-2)),Overview!$U$3:$U$62))</f>
        <v>Arrangement 1</v>
      </c>
      <c r="N10" s="5" t="str">
        <f>IF(A10="","",LOOKUP(2,1/((Overview!$L$3:$L$62&lt;=ROW()-2)*(Overview!$M$3:$M$62&gt;=ROW()-2)),Overview!$V$3:$V$62))</f>
        <v>annotationSet 1</v>
      </c>
      <c r="O10" s="5" t="str">
        <f>IF(A10="","",LOOKUP(2,1/((Overview!$L$3:$L$62&lt;=ROW()-2)*(Overview!$M$3:$M$62&gt;=ROW()-2)),Overview!$B$3:$B$62))</f>
        <v>14.08.26</v>
      </c>
      <c r="P10" s="14">
        <f>IF(A10="","",LOOKUP(2,1/((Overview!$L$3:$L$62&lt;=ROW()-2)*(Overview!$M$3:$M$62&gt;=ROW()-2)),Overview!$S$3:$S$62))</f>
        <v>46248</v>
      </c>
      <c r="Q10" s="5" t="str">
        <f>IF(A10="","",LOOKUP(2,1/((Overview!$L$3:$L$62&lt;=ROW()-2)*(Overview!$M$3:$M$62&gt;=ROW()-2)),Overview!$C$3:$C$62))</f>
        <v>24h</v>
      </c>
      <c r="R10" s="22" t="str">
        <f>IF(E10="","",IF(AND(I10&lt;&gt;"",LOOKUP(2,1/((Overview!$L$3:$L$62&lt;=ROW()-2)*(Overview!$M$3:$M$62&gt;=ROW()-2)),Overview!$Z$3:$Z$62)&lt;&gt;""),LEFT(E10,LEN(E10)-LEN(I10))&amp;LOOKUP(2,1/((Overview!$L$3:$L$62&lt;=ROW()-2)*(Overview!$M$3:$M$62&gt;=ROW()-2)),Overview!$Z$3:$Z$62)&amp;" "&amp;I10,E10)&amp;IF(AND(Q10="",LOOKUP(2,1/((Overview!$L$3:$L$62&lt;=ROW()-2)*(Overview!$M$3:$M$62&gt;=ROW()-2)),Overview!$W$3:$W$62)=""),"",", "&amp;IF(Q10&lt;&gt;"",Q10,"")&amp;IF(AND(Q10&lt;&gt;"",LOOKUP(2,1/((Overview!$L$3:$L$62&lt;=ROW()-2)*(Overview!$M$3:$M$62&gt;=ROW()-2)),Overview!$W$3:$W$62)&lt;&gt;"")," ","")&amp;LOOKUP(2,1/((Overview!$L$3:$L$62&lt;=ROW()-2)*(Overview!$M$3:$M$62&gt;=ROW()-2)),Overview!$W$3:$W$62)))</f>
        <v>YPDA + heat, 4, 24h growth</v>
      </c>
      <c r="S10" t="str">
        <f t="shared" si="1"/>
        <v>Duplicate resolved by Set</v>
      </c>
      <c r="T10" s="9"/>
      <c r="U10" s="10" t="str">
        <f>IF(A10="","",O10&amp;IF(LOOKUP(2,1/((Overview!$L$3:$L$62&lt;=ROW()-2)*(Overview!$M$3:$M$62&gt;=ROW()-2)),Overview!$T$3:$T$62)&lt;&gt;"","_"&amp;LOOKUP(2,1/((Overview!$L$3:$L$62&lt;=ROW()-2)*(Overview!$M$3:$M$62&gt;=ROW()-2)),Overview!$T$3:$T$62),"")&amp;IF(Q10&lt;&gt;"","_"&amp;Q10,"")&amp;IF(E10&lt;&gt;"","_"&amp;E10,"")&amp;LOOKUP(2,1/((Overview!$L$3:$L$62&lt;=ROW()-2)*(Overview!$M$3:$M$62&gt;=ROW()-2)),Overview!$X$3:$X$62))</f>
        <v>14.08.26_24h_YPDA + heat, 4.jpg</v>
      </c>
      <c r="V10">
        <f t="shared" si="2"/>
        <v>2</v>
      </c>
      <c r="W10" t="str">
        <f>IF(U10="","",O10&amp;IF(LOOKUP(2,1/((Overview!$L$3:$L$62&lt;=ROW()-2)*(Overview!$M$3:$M$62&gt;=ROW()-2)),Overview!$T$3:$T$62)&lt;&gt;"","_"&amp;LOOKUP(2,1/((Overview!$L$3:$L$62&lt;=ROW()-2)*(Overview!$M$3:$M$62&gt;=ROW()-2)),Overview!$T$3:$T$62),"")&amp;"_"&amp;IF(LEFT(LOWER(TRIM(F10)),3)="set",TRIM(F10),"Set"&amp;TRIM(F10))&amp;IF(Q10&lt;&gt;"","_"&amp;Q10,"")&amp;IF(E10&lt;&gt;"","_"&amp;E10,"")&amp;LOOKUP(2,1/((Overview!$L$3:$L$62&lt;=ROW()-2)*(Overview!$M$3:$M$62&gt;=ROW()-2)),Overview!$X$3:$X$62))</f>
        <v>14.08.26_SetA_24h_YPDA + heat, 4.jpg</v>
      </c>
      <c r="X10">
        <f t="shared" si="3"/>
        <v>1</v>
      </c>
    </row>
    <row r="11" spans="1:52" ht="13.9" thickBot="1">
      <c r="A11" s="5">
        <f>IF(ROW()-2&gt;SUMIFS(Overview!$K$3:$K$62,Overview!$N$3:$N$62,"OK"),"",LOOKUP(2,1/((Overview!$L$3:$L$62&lt;=ROW()-2)*(Overview!$M$3:$M$62&gt;=ROW()-2)),Overview!$R$3:$R$62))</f>
        <v>1</v>
      </c>
      <c r="B11" s="5" t="str">
        <f>IF(A11="","",LOOKUP(2,1/((Overview!$L$3:$L$62&lt;=ROW()-2)*(Overview!$M$3:$M$62&gt;=ROW()-2)),Overview!$O$3:$O$62))</f>
        <v>14.08.26_24h</v>
      </c>
      <c r="C11" s="5" t="str">
        <f>IF(A11="","",LOOKUP(2,1/((Overview!$L$3:$L$62&lt;=ROW()-2)*(Overview!$M$3:$M$62&gt;=ROW()-2)),Overview!$Y$3:$Y$62))</f>
        <v>E1_14.08.26_24h</v>
      </c>
      <c r="D11" s="25">
        <f>IF(A11="","",ROW()-2-LOOKUP(2,1/((Overview!$L$3:$L$62&lt;=ROW()-2)*(Overview!$M$3:$M$62&gt;=ROW()-2)),Overview!$L$3:$L$62)+1)</f>
        <v>9</v>
      </c>
      <c r="E11" s="31" t="str">
        <f>IF(A11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11" s="25" t="str">
        <f>IF(A11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11" s="113" t="str">
        <f>IF(A11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1" s="31" t="str">
        <f>IF(A11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11" s="31">
        <f>IF(A11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11" s="25" t="str">
        <f>IF(A11="","","image"&amp;D11&amp;LOOKUP(2,1/((Overview!$L$3:$L$62&lt;=ROW()-2)*(Overview!$M$3:$M$62&gt;=ROW()-2)),Overview!$X$3:$X$62))</f>
        <v>image9.jpg</v>
      </c>
      <c r="K11" s="113" t="str">
        <f t="shared" si="0"/>
        <v>E1_14.08.26_24h_I009</v>
      </c>
      <c r="L11" s="27" t="str">
        <f>IF(U11="","",IF(V11=1,U11,IF(X11=1,W11,LEFT(W11,LEN(W11)-LEN(LOOKUP(2,1/((Overview!$L$3:$L$62&lt;=ROW()-2)*(Overview!$M$3:$M$62&gt;=ROW()-2)),Overview!$X$3:$X$62)))&amp;IF(COUNTIF($W$3:W11,W11)=1,"","__"&amp;COUNTIF($W$3:W11,W11))&amp;LOOKUP(2,1/((Overview!$L$3:$L$62&lt;=ROW()-2)*(Overview!$M$3:$M$62&gt;=ROW()-2)),Overview!$X$3:$X$62))))</f>
        <v>14.08.26_SetA_24h_YPDA + salt, 1.jpg</v>
      </c>
      <c r="M11" s="5" t="str">
        <f>IF(A11="","",LOOKUP(2,1/((Overview!$L$3:$L$62&lt;=ROW()-2)*(Overview!$M$3:$M$62&gt;=ROW()-2)),Overview!$U$3:$U$62))</f>
        <v>Arrangement 1</v>
      </c>
      <c r="N11" s="5" t="str">
        <f>IF(A11="","",LOOKUP(2,1/((Overview!$L$3:$L$62&lt;=ROW()-2)*(Overview!$M$3:$M$62&gt;=ROW()-2)),Overview!$V$3:$V$62))</f>
        <v>annotationSet 1</v>
      </c>
      <c r="O11" s="5" t="str">
        <f>IF(A11="","",LOOKUP(2,1/((Overview!$L$3:$L$62&lt;=ROW()-2)*(Overview!$M$3:$M$62&gt;=ROW()-2)),Overview!$B$3:$B$62))</f>
        <v>14.08.26</v>
      </c>
      <c r="P11" s="14">
        <f>IF(A11="","",LOOKUP(2,1/((Overview!$L$3:$L$62&lt;=ROW()-2)*(Overview!$M$3:$M$62&gt;=ROW()-2)),Overview!$S$3:$S$62))</f>
        <v>46248</v>
      </c>
      <c r="Q11" s="5" t="str">
        <f>IF(A11="","",LOOKUP(2,1/((Overview!$L$3:$L$62&lt;=ROW()-2)*(Overview!$M$3:$M$62&gt;=ROW()-2)),Overview!$C$3:$C$62))</f>
        <v>24h</v>
      </c>
      <c r="R11" s="22" t="str">
        <f>IF(E11="","",IF(AND(I11&lt;&gt;"",LOOKUP(2,1/((Overview!$L$3:$L$62&lt;=ROW()-2)*(Overview!$M$3:$M$62&gt;=ROW()-2)),Overview!$Z$3:$Z$62)&lt;&gt;""),LEFT(E11,LEN(E11)-LEN(I11))&amp;LOOKUP(2,1/((Overview!$L$3:$L$62&lt;=ROW()-2)*(Overview!$M$3:$M$62&gt;=ROW()-2)),Overview!$Z$3:$Z$62)&amp;" "&amp;I11,E11)&amp;IF(AND(Q11="",LOOKUP(2,1/((Overview!$L$3:$L$62&lt;=ROW()-2)*(Overview!$M$3:$M$62&gt;=ROW()-2)),Overview!$W$3:$W$62)=""),"",", "&amp;IF(Q11&lt;&gt;"",Q11,"")&amp;IF(AND(Q11&lt;&gt;"",LOOKUP(2,1/((Overview!$L$3:$L$62&lt;=ROW()-2)*(Overview!$M$3:$M$62&gt;=ROW()-2)),Overview!$W$3:$W$62)&lt;&gt;"")," ","")&amp;LOOKUP(2,1/((Overview!$L$3:$L$62&lt;=ROW()-2)*(Overview!$M$3:$M$62&gt;=ROW()-2)),Overview!$W$3:$W$62)))</f>
        <v>YPDA + salt, 1, 24h growth</v>
      </c>
      <c r="S11" t="str">
        <f t="shared" si="1"/>
        <v>Duplicate resolved by Set</v>
      </c>
      <c r="T11" s="9"/>
      <c r="U11" s="10" t="str">
        <f>IF(A11="","",O11&amp;IF(LOOKUP(2,1/((Overview!$L$3:$L$62&lt;=ROW()-2)*(Overview!$M$3:$M$62&gt;=ROW()-2)),Overview!$T$3:$T$62)&lt;&gt;"","_"&amp;LOOKUP(2,1/((Overview!$L$3:$L$62&lt;=ROW()-2)*(Overview!$M$3:$M$62&gt;=ROW()-2)),Overview!$T$3:$T$62),"")&amp;IF(Q11&lt;&gt;"","_"&amp;Q11,"")&amp;IF(E11&lt;&gt;"","_"&amp;E11,"")&amp;LOOKUP(2,1/((Overview!$L$3:$L$62&lt;=ROW()-2)*(Overview!$M$3:$M$62&gt;=ROW()-2)),Overview!$X$3:$X$62))</f>
        <v>14.08.26_24h_YPDA + salt, 1.jpg</v>
      </c>
      <c r="V11">
        <f t="shared" si="2"/>
        <v>2</v>
      </c>
      <c r="W11" t="str">
        <f>IF(U11="","",O11&amp;IF(LOOKUP(2,1/((Overview!$L$3:$L$62&lt;=ROW()-2)*(Overview!$M$3:$M$62&gt;=ROW()-2)),Overview!$T$3:$T$62)&lt;&gt;"","_"&amp;LOOKUP(2,1/((Overview!$L$3:$L$62&lt;=ROW()-2)*(Overview!$M$3:$M$62&gt;=ROW()-2)),Overview!$T$3:$T$62),"")&amp;"_"&amp;IF(LEFT(LOWER(TRIM(F11)),3)="set",TRIM(F11),"Set"&amp;TRIM(F11))&amp;IF(Q11&lt;&gt;"","_"&amp;Q11,"")&amp;IF(E11&lt;&gt;"","_"&amp;E11,"")&amp;LOOKUP(2,1/((Overview!$L$3:$L$62&lt;=ROW()-2)*(Overview!$M$3:$M$62&gt;=ROW()-2)),Overview!$X$3:$X$62))</f>
        <v>14.08.26_SetA_24h_YPDA + salt, 1.jpg</v>
      </c>
      <c r="X11">
        <f t="shared" si="3"/>
        <v>1</v>
      </c>
    </row>
    <row r="12" spans="1:52" ht="13.9" thickBot="1">
      <c r="A12" s="5">
        <f>IF(ROW()-2&gt;SUMIFS(Overview!$K$3:$K$62,Overview!$N$3:$N$62,"OK"),"",LOOKUP(2,1/((Overview!$L$3:$L$62&lt;=ROW()-2)*(Overview!$M$3:$M$62&gt;=ROW()-2)),Overview!$R$3:$R$62))</f>
        <v>1</v>
      </c>
      <c r="B12" s="5" t="str">
        <f>IF(A12="","",LOOKUP(2,1/((Overview!$L$3:$L$62&lt;=ROW()-2)*(Overview!$M$3:$M$62&gt;=ROW()-2)),Overview!$O$3:$O$62))</f>
        <v>14.08.26_24h</v>
      </c>
      <c r="C12" s="5" t="str">
        <f>IF(A12="","",LOOKUP(2,1/((Overview!$L$3:$L$62&lt;=ROW()-2)*(Overview!$M$3:$M$62&gt;=ROW()-2)),Overview!$Y$3:$Y$62))</f>
        <v>E1_14.08.26_24h</v>
      </c>
      <c r="D12" s="25">
        <f>IF(A12="","",ROW()-2-LOOKUP(2,1/((Overview!$L$3:$L$62&lt;=ROW()-2)*(Overview!$M$3:$M$62&gt;=ROW()-2)),Overview!$L$3:$L$62)+1)</f>
        <v>10</v>
      </c>
      <c r="E12" s="31" t="str">
        <f>IF(A12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12" s="25" t="str">
        <f>IF(A12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12" s="113" t="str">
        <f>IF(A12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2" s="31" t="str">
        <f>IF(A12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12" s="31">
        <f>IF(A12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12" s="25" t="str">
        <f>IF(A12="","","image"&amp;D12&amp;LOOKUP(2,1/((Overview!$L$3:$L$62&lt;=ROW()-2)*(Overview!$M$3:$M$62&gt;=ROW()-2)),Overview!$X$3:$X$62))</f>
        <v>image10.jpg</v>
      </c>
      <c r="K12" s="113" t="str">
        <f t="shared" si="0"/>
        <v>E1_14.08.26_24h_I010</v>
      </c>
      <c r="L12" s="27" t="str">
        <f>IF(U12="","",IF(V12=1,U12,IF(X12=1,W12,LEFT(W12,LEN(W12)-LEN(LOOKUP(2,1/((Overview!$L$3:$L$62&lt;=ROW()-2)*(Overview!$M$3:$M$62&gt;=ROW()-2)),Overview!$X$3:$X$62)))&amp;IF(COUNTIF($W$3:W12,W12)=1,"","__"&amp;COUNTIF($W$3:W12,W12))&amp;LOOKUP(2,1/((Overview!$L$3:$L$62&lt;=ROW()-2)*(Overview!$M$3:$M$62&gt;=ROW()-2)),Overview!$X$3:$X$62))))</f>
        <v>14.08.26_SetA_24h_YPDA + salt, 2.jpg</v>
      </c>
      <c r="M12" s="5" t="str">
        <f>IF(A12="","",LOOKUP(2,1/((Overview!$L$3:$L$62&lt;=ROW()-2)*(Overview!$M$3:$M$62&gt;=ROW()-2)),Overview!$U$3:$U$62))</f>
        <v>Arrangement 1</v>
      </c>
      <c r="N12" s="5" t="str">
        <f>IF(A12="","",LOOKUP(2,1/((Overview!$L$3:$L$62&lt;=ROW()-2)*(Overview!$M$3:$M$62&gt;=ROW()-2)),Overview!$V$3:$V$62))</f>
        <v>annotationSet 1</v>
      </c>
      <c r="O12" s="5" t="str">
        <f>IF(A12="","",LOOKUP(2,1/((Overview!$L$3:$L$62&lt;=ROW()-2)*(Overview!$M$3:$M$62&gt;=ROW()-2)),Overview!$B$3:$B$62))</f>
        <v>14.08.26</v>
      </c>
      <c r="P12" s="14">
        <f>IF(A12="","",LOOKUP(2,1/((Overview!$L$3:$L$62&lt;=ROW()-2)*(Overview!$M$3:$M$62&gt;=ROW()-2)),Overview!$S$3:$S$62))</f>
        <v>46248</v>
      </c>
      <c r="Q12" s="5" t="str">
        <f>IF(A12="","",LOOKUP(2,1/((Overview!$L$3:$L$62&lt;=ROW()-2)*(Overview!$M$3:$M$62&gt;=ROW()-2)),Overview!$C$3:$C$62))</f>
        <v>24h</v>
      </c>
      <c r="R12" s="22" t="str">
        <f>IF(E12="","",IF(AND(I12&lt;&gt;"",LOOKUP(2,1/((Overview!$L$3:$L$62&lt;=ROW()-2)*(Overview!$M$3:$M$62&gt;=ROW()-2)),Overview!$Z$3:$Z$62)&lt;&gt;""),LEFT(E12,LEN(E12)-LEN(I12))&amp;LOOKUP(2,1/((Overview!$L$3:$L$62&lt;=ROW()-2)*(Overview!$M$3:$M$62&gt;=ROW()-2)),Overview!$Z$3:$Z$62)&amp;" "&amp;I12,E12)&amp;IF(AND(Q12="",LOOKUP(2,1/((Overview!$L$3:$L$62&lt;=ROW()-2)*(Overview!$M$3:$M$62&gt;=ROW()-2)),Overview!$W$3:$W$62)=""),"",", "&amp;IF(Q12&lt;&gt;"",Q12,"")&amp;IF(AND(Q12&lt;&gt;"",LOOKUP(2,1/((Overview!$L$3:$L$62&lt;=ROW()-2)*(Overview!$M$3:$M$62&gt;=ROW()-2)),Overview!$W$3:$W$62)&lt;&gt;"")," ","")&amp;LOOKUP(2,1/((Overview!$L$3:$L$62&lt;=ROW()-2)*(Overview!$M$3:$M$62&gt;=ROW()-2)),Overview!$W$3:$W$62)))</f>
        <v>YPDA + salt, 2, 24h growth</v>
      </c>
      <c r="S12" t="str">
        <f t="shared" si="1"/>
        <v>Duplicate resolved by Set</v>
      </c>
      <c r="T12" s="11"/>
      <c r="U12" s="10" t="str">
        <f>IF(A12="","",O12&amp;IF(LOOKUP(2,1/((Overview!$L$3:$L$62&lt;=ROW()-2)*(Overview!$M$3:$M$62&gt;=ROW()-2)),Overview!$T$3:$T$62)&lt;&gt;"","_"&amp;LOOKUP(2,1/((Overview!$L$3:$L$62&lt;=ROW()-2)*(Overview!$M$3:$M$62&gt;=ROW()-2)),Overview!$T$3:$T$62),"")&amp;IF(Q12&lt;&gt;"","_"&amp;Q12,"")&amp;IF(E12&lt;&gt;"","_"&amp;E12,"")&amp;LOOKUP(2,1/((Overview!$L$3:$L$62&lt;=ROW()-2)*(Overview!$M$3:$M$62&gt;=ROW()-2)),Overview!$X$3:$X$62))</f>
        <v>14.08.26_24h_YPDA + salt, 2.jpg</v>
      </c>
      <c r="V12">
        <f t="shared" si="2"/>
        <v>2</v>
      </c>
      <c r="W12" t="str">
        <f>IF(U12="","",O12&amp;IF(LOOKUP(2,1/((Overview!$L$3:$L$62&lt;=ROW()-2)*(Overview!$M$3:$M$62&gt;=ROW()-2)),Overview!$T$3:$T$62)&lt;&gt;"","_"&amp;LOOKUP(2,1/((Overview!$L$3:$L$62&lt;=ROW()-2)*(Overview!$M$3:$M$62&gt;=ROW()-2)),Overview!$T$3:$T$62),"")&amp;"_"&amp;IF(LEFT(LOWER(TRIM(F12)),3)="set",TRIM(F12),"Set"&amp;TRIM(F12))&amp;IF(Q12&lt;&gt;"","_"&amp;Q12,"")&amp;IF(E12&lt;&gt;"","_"&amp;E12,"")&amp;LOOKUP(2,1/((Overview!$L$3:$L$62&lt;=ROW()-2)*(Overview!$M$3:$M$62&gt;=ROW()-2)),Overview!$X$3:$X$62))</f>
        <v>14.08.26_SetA_24h_YPDA + salt, 2.jpg</v>
      </c>
      <c r="X12">
        <f t="shared" si="3"/>
        <v>1</v>
      </c>
    </row>
    <row r="13" spans="1:52" ht="13.9" thickBot="1">
      <c r="A13" s="5">
        <f>IF(ROW()-2&gt;SUMIFS(Overview!$K$3:$K$62,Overview!$N$3:$N$62,"OK"),"",LOOKUP(2,1/((Overview!$L$3:$L$62&lt;=ROW()-2)*(Overview!$M$3:$M$62&gt;=ROW()-2)),Overview!$R$3:$R$62))</f>
        <v>1</v>
      </c>
      <c r="B13" s="5" t="str">
        <f>IF(A13="","",LOOKUP(2,1/((Overview!$L$3:$L$62&lt;=ROW()-2)*(Overview!$M$3:$M$62&gt;=ROW()-2)),Overview!$O$3:$O$62))</f>
        <v>14.08.26_24h</v>
      </c>
      <c r="C13" s="5" t="str">
        <f>IF(A13="","",LOOKUP(2,1/((Overview!$L$3:$L$62&lt;=ROW()-2)*(Overview!$M$3:$M$62&gt;=ROW()-2)),Overview!$Y$3:$Y$62))</f>
        <v>E1_14.08.26_24h</v>
      </c>
      <c r="D13" s="25">
        <f>IF(A13="","",ROW()-2-LOOKUP(2,1/((Overview!$L$3:$L$62&lt;=ROW()-2)*(Overview!$M$3:$M$62&gt;=ROW()-2)),Overview!$L$3:$L$62)+1)</f>
        <v>11</v>
      </c>
      <c r="E13" s="31" t="str">
        <f>IF(A13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13" s="25" t="str">
        <f>IF(A13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13" s="113" t="str">
        <f>IF(A13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3" s="31" t="str">
        <f>IF(A13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13" s="31">
        <f>IF(A13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13" s="25" t="str">
        <f>IF(A13="","","image"&amp;D13&amp;LOOKUP(2,1/((Overview!$L$3:$L$62&lt;=ROW()-2)*(Overview!$M$3:$M$62&gt;=ROW()-2)),Overview!$X$3:$X$62))</f>
        <v>image11.jpg</v>
      </c>
      <c r="K13" s="113" t="str">
        <f t="shared" si="0"/>
        <v>E1_14.08.26_24h_I011</v>
      </c>
      <c r="L13" s="27" t="str">
        <f>IF(U13="","",IF(V13=1,U13,IF(X13=1,W13,LEFT(W13,LEN(W13)-LEN(LOOKUP(2,1/((Overview!$L$3:$L$62&lt;=ROW()-2)*(Overview!$M$3:$M$62&gt;=ROW()-2)),Overview!$X$3:$X$62)))&amp;IF(COUNTIF($W$3:W13,W13)=1,"","__"&amp;COUNTIF($W$3:W13,W13))&amp;LOOKUP(2,1/((Overview!$L$3:$L$62&lt;=ROW()-2)*(Overview!$M$3:$M$62&gt;=ROW()-2)),Overview!$X$3:$X$62))))</f>
        <v>14.08.26_SetA_24h_YPDA + salt, 3.jpg</v>
      </c>
      <c r="M13" s="5" t="str">
        <f>IF(A13="","",LOOKUP(2,1/((Overview!$L$3:$L$62&lt;=ROW()-2)*(Overview!$M$3:$M$62&gt;=ROW()-2)),Overview!$U$3:$U$62))</f>
        <v>Arrangement 1</v>
      </c>
      <c r="N13" s="5" t="str">
        <f>IF(A13="","",LOOKUP(2,1/((Overview!$L$3:$L$62&lt;=ROW()-2)*(Overview!$M$3:$M$62&gt;=ROW()-2)),Overview!$V$3:$V$62))</f>
        <v>annotationSet 1</v>
      </c>
      <c r="O13" s="5" t="str">
        <f>IF(A13="","",LOOKUP(2,1/((Overview!$L$3:$L$62&lt;=ROW()-2)*(Overview!$M$3:$M$62&gt;=ROW()-2)),Overview!$B$3:$B$62))</f>
        <v>14.08.26</v>
      </c>
      <c r="P13" s="14">
        <f>IF(A13="","",LOOKUP(2,1/((Overview!$L$3:$L$62&lt;=ROW()-2)*(Overview!$M$3:$M$62&gt;=ROW()-2)),Overview!$S$3:$S$62))</f>
        <v>46248</v>
      </c>
      <c r="Q13" s="5" t="str">
        <f>IF(A13="","",LOOKUP(2,1/((Overview!$L$3:$L$62&lt;=ROW()-2)*(Overview!$M$3:$M$62&gt;=ROW()-2)),Overview!$C$3:$C$62))</f>
        <v>24h</v>
      </c>
      <c r="R13" s="22" t="str">
        <f>IF(E13="","",IF(AND(I13&lt;&gt;"",LOOKUP(2,1/((Overview!$L$3:$L$62&lt;=ROW()-2)*(Overview!$M$3:$M$62&gt;=ROW()-2)),Overview!$Z$3:$Z$62)&lt;&gt;""),LEFT(E13,LEN(E13)-LEN(I13))&amp;LOOKUP(2,1/((Overview!$L$3:$L$62&lt;=ROW()-2)*(Overview!$M$3:$M$62&gt;=ROW()-2)),Overview!$Z$3:$Z$62)&amp;" "&amp;I13,E13)&amp;IF(AND(Q13="",LOOKUP(2,1/((Overview!$L$3:$L$62&lt;=ROW()-2)*(Overview!$M$3:$M$62&gt;=ROW()-2)),Overview!$W$3:$W$62)=""),"",", "&amp;IF(Q13&lt;&gt;"",Q13,"")&amp;IF(AND(Q13&lt;&gt;"",LOOKUP(2,1/((Overview!$L$3:$L$62&lt;=ROW()-2)*(Overview!$M$3:$M$62&gt;=ROW()-2)),Overview!$W$3:$W$62)&lt;&gt;"")," ","")&amp;LOOKUP(2,1/((Overview!$L$3:$L$62&lt;=ROW()-2)*(Overview!$M$3:$M$62&gt;=ROW()-2)),Overview!$W$3:$W$62)))</f>
        <v>YPDA + salt, 3, 24h growth</v>
      </c>
      <c r="S13" t="str">
        <f t="shared" si="1"/>
        <v>Duplicate resolved by Set</v>
      </c>
      <c r="U13" s="10" t="str">
        <f>IF(A13="","",O13&amp;IF(LOOKUP(2,1/((Overview!$L$3:$L$62&lt;=ROW()-2)*(Overview!$M$3:$M$62&gt;=ROW()-2)),Overview!$T$3:$T$62)&lt;&gt;"","_"&amp;LOOKUP(2,1/((Overview!$L$3:$L$62&lt;=ROW()-2)*(Overview!$M$3:$M$62&gt;=ROW()-2)),Overview!$T$3:$T$62),"")&amp;IF(Q13&lt;&gt;"","_"&amp;Q13,"")&amp;IF(E13&lt;&gt;"","_"&amp;E13,"")&amp;LOOKUP(2,1/((Overview!$L$3:$L$62&lt;=ROW()-2)*(Overview!$M$3:$M$62&gt;=ROW()-2)),Overview!$X$3:$X$62))</f>
        <v>14.08.26_24h_YPDA + salt, 3.jpg</v>
      </c>
      <c r="V13">
        <f t="shared" si="2"/>
        <v>2</v>
      </c>
      <c r="W13" t="str">
        <f>IF(U13="","",O13&amp;IF(LOOKUP(2,1/((Overview!$L$3:$L$62&lt;=ROW()-2)*(Overview!$M$3:$M$62&gt;=ROW()-2)),Overview!$T$3:$T$62)&lt;&gt;"","_"&amp;LOOKUP(2,1/((Overview!$L$3:$L$62&lt;=ROW()-2)*(Overview!$M$3:$M$62&gt;=ROW()-2)),Overview!$T$3:$T$62),"")&amp;"_"&amp;IF(LEFT(LOWER(TRIM(F13)),3)="set",TRIM(F13),"Set"&amp;TRIM(F13))&amp;IF(Q13&lt;&gt;"","_"&amp;Q13,"")&amp;IF(E13&lt;&gt;"","_"&amp;E13,"")&amp;LOOKUP(2,1/((Overview!$L$3:$L$62&lt;=ROW()-2)*(Overview!$M$3:$M$62&gt;=ROW()-2)),Overview!$X$3:$X$62))</f>
        <v>14.08.26_SetA_24h_YPDA + salt, 3.jpg</v>
      </c>
      <c r="X13">
        <f t="shared" si="3"/>
        <v>1</v>
      </c>
    </row>
    <row r="14" spans="1:52" ht="13.9" thickBot="1">
      <c r="A14" s="5">
        <f>IF(ROW()-2&gt;SUMIFS(Overview!$K$3:$K$62,Overview!$N$3:$N$62,"OK"),"",LOOKUP(2,1/((Overview!$L$3:$L$62&lt;=ROW()-2)*(Overview!$M$3:$M$62&gt;=ROW()-2)),Overview!$R$3:$R$62))</f>
        <v>1</v>
      </c>
      <c r="B14" s="5" t="str">
        <f>IF(A14="","",LOOKUP(2,1/((Overview!$L$3:$L$62&lt;=ROW()-2)*(Overview!$M$3:$M$62&gt;=ROW()-2)),Overview!$O$3:$O$62))</f>
        <v>14.08.26_24h</v>
      </c>
      <c r="C14" s="5" t="str">
        <f>IF(A14="","",LOOKUP(2,1/((Overview!$L$3:$L$62&lt;=ROW()-2)*(Overview!$M$3:$M$62&gt;=ROW()-2)),Overview!$Y$3:$Y$62))</f>
        <v>E1_14.08.26_24h</v>
      </c>
      <c r="D14" s="25">
        <f>IF(A14="","",ROW()-2-LOOKUP(2,1/((Overview!$L$3:$L$62&lt;=ROW()-2)*(Overview!$M$3:$M$62&gt;=ROW()-2)),Overview!$L$3:$L$62)+1)</f>
        <v>12</v>
      </c>
      <c r="E14" s="31" t="str">
        <f>IF(A14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14" s="25" t="str">
        <f>IF(A14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14" s="113" t="str">
        <f>IF(A14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4" s="31" t="str">
        <f>IF(A14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14" s="31">
        <f>IF(A14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14" s="25" t="str">
        <f>IF(A14="","","image"&amp;D14&amp;LOOKUP(2,1/((Overview!$L$3:$L$62&lt;=ROW()-2)*(Overview!$M$3:$M$62&gt;=ROW()-2)),Overview!$X$3:$X$62))</f>
        <v>image12.jpg</v>
      </c>
      <c r="K14" s="113" t="str">
        <f t="shared" si="0"/>
        <v>E1_14.08.26_24h_I012</v>
      </c>
      <c r="L14" s="27" t="str">
        <f>IF(U14="","",IF(V14=1,U14,IF(X14=1,W14,LEFT(W14,LEN(W14)-LEN(LOOKUP(2,1/((Overview!$L$3:$L$62&lt;=ROW()-2)*(Overview!$M$3:$M$62&gt;=ROW()-2)),Overview!$X$3:$X$62)))&amp;IF(COUNTIF($W$3:W14,W14)=1,"","__"&amp;COUNTIF($W$3:W14,W14))&amp;LOOKUP(2,1/((Overview!$L$3:$L$62&lt;=ROW()-2)*(Overview!$M$3:$M$62&gt;=ROW()-2)),Overview!$X$3:$X$62))))</f>
        <v>14.08.26_SetA_24h_YPDA + salt, 4.jpg</v>
      </c>
      <c r="M14" s="5" t="str">
        <f>IF(A14="","",LOOKUP(2,1/((Overview!$L$3:$L$62&lt;=ROW()-2)*(Overview!$M$3:$M$62&gt;=ROW()-2)),Overview!$U$3:$U$62))</f>
        <v>Arrangement 1</v>
      </c>
      <c r="N14" s="5" t="str">
        <f>IF(A14="","",LOOKUP(2,1/((Overview!$L$3:$L$62&lt;=ROW()-2)*(Overview!$M$3:$M$62&gt;=ROW()-2)),Overview!$V$3:$V$62))</f>
        <v>annotationSet 1</v>
      </c>
      <c r="O14" s="5" t="str">
        <f>IF(A14="","",LOOKUP(2,1/((Overview!$L$3:$L$62&lt;=ROW()-2)*(Overview!$M$3:$M$62&gt;=ROW()-2)),Overview!$B$3:$B$62))</f>
        <v>14.08.26</v>
      </c>
      <c r="P14" s="14">
        <f>IF(A14="","",LOOKUP(2,1/((Overview!$L$3:$L$62&lt;=ROW()-2)*(Overview!$M$3:$M$62&gt;=ROW()-2)),Overview!$S$3:$S$62))</f>
        <v>46248</v>
      </c>
      <c r="Q14" s="5" t="str">
        <f>IF(A14="","",LOOKUP(2,1/((Overview!$L$3:$L$62&lt;=ROW()-2)*(Overview!$M$3:$M$62&gt;=ROW()-2)),Overview!$C$3:$C$62))</f>
        <v>24h</v>
      </c>
      <c r="R14" s="22" t="str">
        <f>IF(E14="","",IF(AND(I14&lt;&gt;"",LOOKUP(2,1/((Overview!$L$3:$L$62&lt;=ROW()-2)*(Overview!$M$3:$M$62&gt;=ROW()-2)),Overview!$Z$3:$Z$62)&lt;&gt;""),LEFT(E14,LEN(E14)-LEN(I14))&amp;LOOKUP(2,1/((Overview!$L$3:$L$62&lt;=ROW()-2)*(Overview!$M$3:$M$62&gt;=ROW()-2)),Overview!$Z$3:$Z$62)&amp;" "&amp;I14,E14)&amp;IF(AND(Q14="",LOOKUP(2,1/((Overview!$L$3:$L$62&lt;=ROW()-2)*(Overview!$M$3:$M$62&gt;=ROW()-2)),Overview!$W$3:$W$62)=""),"",", "&amp;IF(Q14&lt;&gt;"",Q14,"")&amp;IF(AND(Q14&lt;&gt;"",LOOKUP(2,1/((Overview!$L$3:$L$62&lt;=ROW()-2)*(Overview!$M$3:$M$62&gt;=ROW()-2)),Overview!$W$3:$W$62)&lt;&gt;"")," ","")&amp;LOOKUP(2,1/((Overview!$L$3:$L$62&lt;=ROW()-2)*(Overview!$M$3:$M$62&gt;=ROW()-2)),Overview!$W$3:$W$62)))</f>
        <v>YPDA + salt, 4, 24h growth</v>
      </c>
      <c r="S14" t="str">
        <f t="shared" si="1"/>
        <v>Duplicate resolved by Set</v>
      </c>
      <c r="U14" s="10" t="str">
        <f>IF(A14="","",O14&amp;IF(LOOKUP(2,1/((Overview!$L$3:$L$62&lt;=ROW()-2)*(Overview!$M$3:$M$62&gt;=ROW()-2)),Overview!$T$3:$T$62)&lt;&gt;"","_"&amp;LOOKUP(2,1/((Overview!$L$3:$L$62&lt;=ROW()-2)*(Overview!$M$3:$M$62&gt;=ROW()-2)),Overview!$T$3:$T$62),"")&amp;IF(Q14&lt;&gt;"","_"&amp;Q14,"")&amp;IF(E14&lt;&gt;"","_"&amp;E14,"")&amp;LOOKUP(2,1/((Overview!$L$3:$L$62&lt;=ROW()-2)*(Overview!$M$3:$M$62&gt;=ROW()-2)),Overview!$X$3:$X$62))</f>
        <v>14.08.26_24h_YPDA + salt, 4.jpg</v>
      </c>
      <c r="V14">
        <f t="shared" si="2"/>
        <v>2</v>
      </c>
      <c r="W14" t="str">
        <f>IF(U14="","",O14&amp;IF(LOOKUP(2,1/((Overview!$L$3:$L$62&lt;=ROW()-2)*(Overview!$M$3:$M$62&gt;=ROW()-2)),Overview!$T$3:$T$62)&lt;&gt;"","_"&amp;LOOKUP(2,1/((Overview!$L$3:$L$62&lt;=ROW()-2)*(Overview!$M$3:$M$62&gt;=ROW()-2)),Overview!$T$3:$T$62),"")&amp;"_"&amp;IF(LEFT(LOWER(TRIM(F14)),3)="set",TRIM(F14),"Set"&amp;TRIM(F14))&amp;IF(Q14&lt;&gt;"","_"&amp;Q14,"")&amp;IF(E14&lt;&gt;"","_"&amp;E14,"")&amp;LOOKUP(2,1/((Overview!$L$3:$L$62&lt;=ROW()-2)*(Overview!$M$3:$M$62&gt;=ROW()-2)),Overview!$X$3:$X$62))</f>
        <v>14.08.26_SetA_24h_YPDA + salt, 4.jpg</v>
      </c>
      <c r="X14">
        <f t="shared" si="3"/>
        <v>1</v>
      </c>
    </row>
    <row r="15" spans="1:52" ht="13.9" thickBot="1">
      <c r="A15" s="5">
        <f>IF(ROW()-2&gt;SUMIFS(Overview!$K$3:$K$62,Overview!$N$3:$N$62,"OK"),"",LOOKUP(2,1/((Overview!$L$3:$L$62&lt;=ROW()-2)*(Overview!$M$3:$M$62&gt;=ROW()-2)),Overview!$R$3:$R$62))</f>
        <v>1</v>
      </c>
      <c r="B15" s="5" t="str">
        <f>IF(A15="","",LOOKUP(2,1/((Overview!$L$3:$L$62&lt;=ROW()-2)*(Overview!$M$3:$M$62&gt;=ROW()-2)),Overview!$O$3:$O$62))</f>
        <v>14.08.26_24h</v>
      </c>
      <c r="C15" s="5" t="str">
        <f>IF(A15="","",LOOKUP(2,1/((Overview!$L$3:$L$62&lt;=ROW()-2)*(Overview!$M$3:$M$62&gt;=ROW()-2)),Overview!$Y$3:$Y$62))</f>
        <v>E1_14.08.26_24h</v>
      </c>
      <c r="D15" s="32">
        <f>IF(A15="","",ROW()-2-LOOKUP(2,1/((Overview!$L$3:$L$62&lt;=ROW()-2)*(Overview!$M$3:$M$62&gt;=ROW()-2)),Overview!$L$3:$L$62)+1)</f>
        <v>13</v>
      </c>
      <c r="E15" s="24" t="str">
        <f>IF(A15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15" s="32" t="str">
        <f>IF(A15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15" s="113" t="str">
        <f>IF(A15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5" s="24" t="str">
        <f>IF(A15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5" s="24">
        <f>IF(A15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15" s="32" t="str">
        <f>IF(A15="","","image"&amp;D15&amp;LOOKUP(2,1/((Overview!$L$3:$L$62&lt;=ROW()-2)*(Overview!$M$3:$M$62&gt;=ROW()-2)),Overview!$X$3:$X$62))</f>
        <v>image13.jpg</v>
      </c>
      <c r="K15" s="113" t="str">
        <f t="shared" si="0"/>
        <v>E1_14.08.26_24h_I013</v>
      </c>
      <c r="L15" s="103" t="str">
        <f>IF(U15="","",IF(V15=1,U15,IF(X15=1,W15,LEFT(W15,LEN(W15)-LEN(LOOKUP(2,1/((Overview!$L$3:$L$62&lt;=ROW()-2)*(Overview!$M$3:$M$62&gt;=ROW()-2)),Overview!$X$3:$X$62)))&amp;IF(COUNTIF($W$3:W15,W15)=1,"","__"&amp;COUNTIF($W$3:W15,W15))&amp;LOOKUP(2,1/((Overview!$L$3:$L$62&lt;=ROW()-2)*(Overview!$M$3:$M$62&gt;=ROW()-2)),Overview!$X$3:$X$62))))</f>
        <v>14.08.26_SetB_24h_YPDA, 1.jpg</v>
      </c>
      <c r="M15" s="5" t="str">
        <f>IF(A15="","",LOOKUP(2,1/((Overview!$L$3:$L$62&lt;=ROW()-2)*(Overview!$M$3:$M$62&gt;=ROW()-2)),Overview!$U$3:$U$62))</f>
        <v>Arrangement 1</v>
      </c>
      <c r="N15" s="5" t="str">
        <f>IF(A15="","",LOOKUP(2,1/((Overview!$L$3:$L$62&lt;=ROW()-2)*(Overview!$M$3:$M$62&gt;=ROW()-2)),Overview!$V$3:$V$62))</f>
        <v>annotationSet 1</v>
      </c>
      <c r="O15" s="5" t="str">
        <f>IF(A15="","",LOOKUP(2,1/((Overview!$L$3:$L$62&lt;=ROW()-2)*(Overview!$M$3:$M$62&gt;=ROW()-2)),Overview!$B$3:$B$62))</f>
        <v>14.08.26</v>
      </c>
      <c r="P15" s="14">
        <f>IF(A15="","",LOOKUP(2,1/((Overview!$L$3:$L$62&lt;=ROW()-2)*(Overview!$M$3:$M$62&gt;=ROW()-2)),Overview!$S$3:$S$62))</f>
        <v>46248</v>
      </c>
      <c r="Q15" s="5" t="str">
        <f>IF(A15="","",LOOKUP(2,1/((Overview!$L$3:$L$62&lt;=ROW()-2)*(Overview!$M$3:$M$62&gt;=ROW()-2)),Overview!$C$3:$C$62))</f>
        <v>24h</v>
      </c>
      <c r="R15" s="22" t="str">
        <f>IF(E15="","",IF(AND(I15&lt;&gt;"",LOOKUP(2,1/((Overview!$L$3:$L$62&lt;=ROW()-2)*(Overview!$M$3:$M$62&gt;=ROW()-2)),Overview!$Z$3:$Z$62)&lt;&gt;""),LEFT(E15,LEN(E15)-LEN(I15))&amp;LOOKUP(2,1/((Overview!$L$3:$L$62&lt;=ROW()-2)*(Overview!$M$3:$M$62&gt;=ROW()-2)),Overview!$Z$3:$Z$62)&amp;" "&amp;I15,E15)&amp;IF(AND(Q15="",LOOKUP(2,1/((Overview!$L$3:$L$62&lt;=ROW()-2)*(Overview!$M$3:$M$62&gt;=ROW()-2)),Overview!$W$3:$W$62)=""),"",", "&amp;IF(Q15&lt;&gt;"",Q15,"")&amp;IF(AND(Q15&lt;&gt;"",LOOKUP(2,1/((Overview!$L$3:$L$62&lt;=ROW()-2)*(Overview!$M$3:$M$62&gt;=ROW()-2)),Overview!$W$3:$W$62)&lt;&gt;"")," ","")&amp;LOOKUP(2,1/((Overview!$L$3:$L$62&lt;=ROW()-2)*(Overview!$M$3:$M$62&gt;=ROW()-2)),Overview!$W$3:$W$62)))</f>
        <v>YPDA, 1, 24h growth</v>
      </c>
      <c r="S15" t="str">
        <f t="shared" si="1"/>
        <v>Duplicate resolved by Set</v>
      </c>
      <c r="U15" s="10" t="str">
        <f>IF(A15="","",O15&amp;IF(LOOKUP(2,1/((Overview!$L$3:$L$62&lt;=ROW()-2)*(Overview!$M$3:$M$62&gt;=ROW()-2)),Overview!$T$3:$T$62)&lt;&gt;"","_"&amp;LOOKUP(2,1/((Overview!$L$3:$L$62&lt;=ROW()-2)*(Overview!$M$3:$M$62&gt;=ROW()-2)),Overview!$T$3:$T$62),"")&amp;IF(Q15&lt;&gt;"","_"&amp;Q15,"")&amp;IF(E15&lt;&gt;"","_"&amp;E15,"")&amp;LOOKUP(2,1/((Overview!$L$3:$L$62&lt;=ROW()-2)*(Overview!$M$3:$M$62&gt;=ROW()-2)),Overview!$X$3:$X$62))</f>
        <v>14.08.26_24h_YPDA, 1.jpg</v>
      </c>
      <c r="V15">
        <f t="shared" si="2"/>
        <v>2</v>
      </c>
      <c r="W15" t="str">
        <f>IF(U15="","",O15&amp;IF(LOOKUP(2,1/((Overview!$L$3:$L$62&lt;=ROW()-2)*(Overview!$M$3:$M$62&gt;=ROW()-2)),Overview!$T$3:$T$62)&lt;&gt;"","_"&amp;LOOKUP(2,1/((Overview!$L$3:$L$62&lt;=ROW()-2)*(Overview!$M$3:$M$62&gt;=ROW()-2)),Overview!$T$3:$T$62),"")&amp;"_"&amp;IF(LEFT(LOWER(TRIM(F15)),3)="set",TRIM(F15),"Set"&amp;TRIM(F15))&amp;IF(Q15&lt;&gt;"","_"&amp;Q15,"")&amp;IF(E15&lt;&gt;"","_"&amp;E15,"")&amp;LOOKUP(2,1/((Overview!$L$3:$L$62&lt;=ROW()-2)*(Overview!$M$3:$M$62&gt;=ROW()-2)),Overview!$X$3:$X$62))</f>
        <v>14.08.26_SetB_24h_YPDA, 1.jpg</v>
      </c>
      <c r="X15">
        <f t="shared" si="3"/>
        <v>1</v>
      </c>
    </row>
    <row r="16" spans="1:52" ht="13.9" thickBot="1">
      <c r="A16" s="5">
        <f>IF(ROW()-2&gt;SUMIFS(Overview!$K$3:$K$62,Overview!$N$3:$N$62,"OK"),"",LOOKUP(2,1/((Overview!$L$3:$L$62&lt;=ROW()-2)*(Overview!$M$3:$M$62&gt;=ROW()-2)),Overview!$R$3:$R$62))</f>
        <v>1</v>
      </c>
      <c r="B16" s="5" t="str">
        <f>IF(A16="","",LOOKUP(2,1/((Overview!$L$3:$L$62&lt;=ROW()-2)*(Overview!$M$3:$M$62&gt;=ROW()-2)),Overview!$O$3:$O$62))</f>
        <v>14.08.26_24h</v>
      </c>
      <c r="C16" s="5" t="str">
        <f>IF(A16="","",LOOKUP(2,1/((Overview!$L$3:$L$62&lt;=ROW()-2)*(Overview!$M$3:$M$62&gt;=ROW()-2)),Overview!$Y$3:$Y$62))</f>
        <v>E1_14.08.26_24h</v>
      </c>
      <c r="D16" s="32">
        <f>IF(A16="","",ROW()-2-LOOKUP(2,1/((Overview!$L$3:$L$62&lt;=ROW()-2)*(Overview!$M$3:$M$62&gt;=ROW()-2)),Overview!$L$3:$L$62)+1)</f>
        <v>14</v>
      </c>
      <c r="E16" s="24" t="str">
        <f>IF(A16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16" s="32" t="str">
        <f>IF(A16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16" s="113" t="str">
        <f>IF(A16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6" s="24" t="str">
        <f>IF(A16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6" s="24">
        <f>IF(A16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16" s="32" t="str">
        <f>IF(A16="","","image"&amp;D16&amp;LOOKUP(2,1/((Overview!$L$3:$L$62&lt;=ROW()-2)*(Overview!$M$3:$M$62&gt;=ROW()-2)),Overview!$X$3:$X$62))</f>
        <v>image14.jpg</v>
      </c>
      <c r="K16" s="113" t="str">
        <f t="shared" si="0"/>
        <v>E1_14.08.26_24h_I014</v>
      </c>
      <c r="L16" s="103" t="str">
        <f>IF(U16="","",IF(V16=1,U16,IF(X16=1,W16,LEFT(W16,LEN(W16)-LEN(LOOKUP(2,1/((Overview!$L$3:$L$62&lt;=ROW()-2)*(Overview!$M$3:$M$62&gt;=ROW()-2)),Overview!$X$3:$X$62)))&amp;IF(COUNTIF($W$3:W16,W16)=1,"","__"&amp;COUNTIF($W$3:W16,W16))&amp;LOOKUP(2,1/((Overview!$L$3:$L$62&lt;=ROW()-2)*(Overview!$M$3:$M$62&gt;=ROW()-2)),Overview!$X$3:$X$62))))</f>
        <v>14.08.26_SetB_24h_YPDA, 2.jpg</v>
      </c>
      <c r="M16" s="5" t="str">
        <f>IF(A16="","",LOOKUP(2,1/((Overview!$L$3:$L$62&lt;=ROW()-2)*(Overview!$M$3:$M$62&gt;=ROW()-2)),Overview!$U$3:$U$62))</f>
        <v>Arrangement 1</v>
      </c>
      <c r="N16" s="5" t="str">
        <f>IF(A16="","",LOOKUP(2,1/((Overview!$L$3:$L$62&lt;=ROW()-2)*(Overview!$M$3:$M$62&gt;=ROW()-2)),Overview!$V$3:$V$62))</f>
        <v>annotationSet 1</v>
      </c>
      <c r="O16" s="5" t="str">
        <f>IF(A16="","",LOOKUP(2,1/((Overview!$L$3:$L$62&lt;=ROW()-2)*(Overview!$M$3:$M$62&gt;=ROW()-2)),Overview!$B$3:$B$62))</f>
        <v>14.08.26</v>
      </c>
      <c r="P16" s="14">
        <f>IF(A16="","",LOOKUP(2,1/((Overview!$L$3:$L$62&lt;=ROW()-2)*(Overview!$M$3:$M$62&gt;=ROW()-2)),Overview!$S$3:$S$62))</f>
        <v>46248</v>
      </c>
      <c r="Q16" s="5" t="str">
        <f>IF(A16="","",LOOKUP(2,1/((Overview!$L$3:$L$62&lt;=ROW()-2)*(Overview!$M$3:$M$62&gt;=ROW()-2)),Overview!$C$3:$C$62))</f>
        <v>24h</v>
      </c>
      <c r="R16" s="22" t="str">
        <f>IF(E16="","",IF(AND(I16&lt;&gt;"",LOOKUP(2,1/((Overview!$L$3:$L$62&lt;=ROW()-2)*(Overview!$M$3:$M$62&gt;=ROW()-2)),Overview!$Z$3:$Z$62)&lt;&gt;""),LEFT(E16,LEN(E16)-LEN(I16))&amp;LOOKUP(2,1/((Overview!$L$3:$L$62&lt;=ROW()-2)*(Overview!$M$3:$M$62&gt;=ROW()-2)),Overview!$Z$3:$Z$62)&amp;" "&amp;I16,E16)&amp;IF(AND(Q16="",LOOKUP(2,1/((Overview!$L$3:$L$62&lt;=ROW()-2)*(Overview!$M$3:$M$62&gt;=ROW()-2)),Overview!$W$3:$W$62)=""),"",", "&amp;IF(Q16&lt;&gt;"",Q16,"")&amp;IF(AND(Q16&lt;&gt;"",LOOKUP(2,1/((Overview!$L$3:$L$62&lt;=ROW()-2)*(Overview!$M$3:$M$62&gt;=ROW()-2)),Overview!$W$3:$W$62)&lt;&gt;"")," ","")&amp;LOOKUP(2,1/((Overview!$L$3:$L$62&lt;=ROW()-2)*(Overview!$M$3:$M$62&gt;=ROW()-2)),Overview!$W$3:$W$62)))</f>
        <v>YPDA, 2, 24h growth</v>
      </c>
      <c r="S16" t="str">
        <f t="shared" si="1"/>
        <v>Duplicate resolved by Set</v>
      </c>
      <c r="U16" s="10" t="str">
        <f>IF(A16="","",O16&amp;IF(LOOKUP(2,1/((Overview!$L$3:$L$62&lt;=ROW()-2)*(Overview!$M$3:$M$62&gt;=ROW()-2)),Overview!$T$3:$T$62)&lt;&gt;"","_"&amp;LOOKUP(2,1/((Overview!$L$3:$L$62&lt;=ROW()-2)*(Overview!$M$3:$M$62&gt;=ROW()-2)),Overview!$T$3:$T$62),"")&amp;IF(Q16&lt;&gt;"","_"&amp;Q16,"")&amp;IF(E16&lt;&gt;"","_"&amp;E16,"")&amp;LOOKUP(2,1/((Overview!$L$3:$L$62&lt;=ROW()-2)*(Overview!$M$3:$M$62&gt;=ROW()-2)),Overview!$X$3:$X$62))</f>
        <v>14.08.26_24h_YPDA, 2.jpg</v>
      </c>
      <c r="V16">
        <f t="shared" si="2"/>
        <v>2</v>
      </c>
      <c r="W16" t="str">
        <f>IF(U16="","",O16&amp;IF(LOOKUP(2,1/((Overview!$L$3:$L$62&lt;=ROW()-2)*(Overview!$M$3:$M$62&gt;=ROW()-2)),Overview!$T$3:$T$62)&lt;&gt;"","_"&amp;LOOKUP(2,1/((Overview!$L$3:$L$62&lt;=ROW()-2)*(Overview!$M$3:$M$62&gt;=ROW()-2)),Overview!$T$3:$T$62),"")&amp;"_"&amp;IF(LEFT(LOWER(TRIM(F16)),3)="set",TRIM(F16),"Set"&amp;TRIM(F16))&amp;IF(Q16&lt;&gt;"","_"&amp;Q16,"")&amp;IF(E16&lt;&gt;"","_"&amp;E16,"")&amp;LOOKUP(2,1/((Overview!$L$3:$L$62&lt;=ROW()-2)*(Overview!$M$3:$M$62&gt;=ROW()-2)),Overview!$X$3:$X$62))</f>
        <v>14.08.26_SetB_24h_YPDA, 2.jpg</v>
      </c>
      <c r="X16">
        <f t="shared" si="3"/>
        <v>1</v>
      </c>
    </row>
    <row r="17" spans="1:24" ht="13.9" thickBot="1">
      <c r="A17" s="5">
        <f>IF(ROW()-2&gt;SUMIFS(Overview!$K$3:$K$62,Overview!$N$3:$N$62,"OK"),"",LOOKUP(2,1/((Overview!$L$3:$L$62&lt;=ROW()-2)*(Overview!$M$3:$M$62&gt;=ROW()-2)),Overview!$R$3:$R$62))</f>
        <v>1</v>
      </c>
      <c r="B17" s="5" t="str">
        <f>IF(A17="","",LOOKUP(2,1/((Overview!$L$3:$L$62&lt;=ROW()-2)*(Overview!$M$3:$M$62&gt;=ROW()-2)),Overview!$O$3:$O$62))</f>
        <v>14.08.26_24h</v>
      </c>
      <c r="C17" s="5" t="str">
        <f>IF(A17="","",LOOKUP(2,1/((Overview!$L$3:$L$62&lt;=ROW()-2)*(Overview!$M$3:$M$62&gt;=ROW()-2)),Overview!$Y$3:$Y$62))</f>
        <v>E1_14.08.26_24h</v>
      </c>
      <c r="D17" s="32">
        <f>IF(A17="","",ROW()-2-LOOKUP(2,1/((Overview!$L$3:$L$62&lt;=ROW()-2)*(Overview!$M$3:$M$62&gt;=ROW()-2)),Overview!$L$3:$L$62)+1)</f>
        <v>15</v>
      </c>
      <c r="E17" s="24" t="str">
        <f>IF(A17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17" s="32" t="str">
        <f>IF(A17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17" s="113" t="str">
        <f>IF(A17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7" s="24" t="str">
        <f>IF(A17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7" s="24">
        <f>IF(A17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17" s="32" t="str">
        <f>IF(A17="","","image"&amp;D17&amp;LOOKUP(2,1/((Overview!$L$3:$L$62&lt;=ROW()-2)*(Overview!$M$3:$M$62&gt;=ROW()-2)),Overview!$X$3:$X$62))</f>
        <v>image15.jpg</v>
      </c>
      <c r="K17" s="113" t="str">
        <f t="shared" si="0"/>
        <v>E1_14.08.26_24h_I015</v>
      </c>
      <c r="L17" s="103" t="str">
        <f>IF(U17="","",IF(V17=1,U17,IF(X17=1,W17,LEFT(W17,LEN(W17)-LEN(LOOKUP(2,1/((Overview!$L$3:$L$62&lt;=ROW()-2)*(Overview!$M$3:$M$62&gt;=ROW()-2)),Overview!$X$3:$X$62)))&amp;IF(COUNTIF($W$3:W17,W17)=1,"","__"&amp;COUNTIF($W$3:W17,W17))&amp;LOOKUP(2,1/((Overview!$L$3:$L$62&lt;=ROW()-2)*(Overview!$M$3:$M$62&gt;=ROW()-2)),Overview!$X$3:$X$62))))</f>
        <v>14.08.26_SetB_24h_YPDA, 3.jpg</v>
      </c>
      <c r="M17" s="5" t="str">
        <f>IF(A17="","",LOOKUP(2,1/((Overview!$L$3:$L$62&lt;=ROW()-2)*(Overview!$M$3:$M$62&gt;=ROW()-2)),Overview!$U$3:$U$62))</f>
        <v>Arrangement 1</v>
      </c>
      <c r="N17" s="5" t="str">
        <f>IF(A17="","",LOOKUP(2,1/((Overview!$L$3:$L$62&lt;=ROW()-2)*(Overview!$M$3:$M$62&gt;=ROW()-2)),Overview!$V$3:$V$62))</f>
        <v>annotationSet 1</v>
      </c>
      <c r="O17" s="5" t="str">
        <f>IF(A17="","",LOOKUP(2,1/((Overview!$L$3:$L$62&lt;=ROW()-2)*(Overview!$M$3:$M$62&gt;=ROW()-2)),Overview!$B$3:$B$62))</f>
        <v>14.08.26</v>
      </c>
      <c r="P17" s="14">
        <f>IF(A17="","",LOOKUP(2,1/((Overview!$L$3:$L$62&lt;=ROW()-2)*(Overview!$M$3:$M$62&gt;=ROW()-2)),Overview!$S$3:$S$62))</f>
        <v>46248</v>
      </c>
      <c r="Q17" s="5" t="str">
        <f>IF(A17="","",LOOKUP(2,1/((Overview!$L$3:$L$62&lt;=ROW()-2)*(Overview!$M$3:$M$62&gt;=ROW()-2)),Overview!$C$3:$C$62))</f>
        <v>24h</v>
      </c>
      <c r="R17" s="22" t="str">
        <f>IF(E17="","",IF(AND(I17&lt;&gt;"",LOOKUP(2,1/((Overview!$L$3:$L$62&lt;=ROW()-2)*(Overview!$M$3:$M$62&gt;=ROW()-2)),Overview!$Z$3:$Z$62)&lt;&gt;""),LEFT(E17,LEN(E17)-LEN(I17))&amp;LOOKUP(2,1/((Overview!$L$3:$L$62&lt;=ROW()-2)*(Overview!$M$3:$M$62&gt;=ROW()-2)),Overview!$Z$3:$Z$62)&amp;" "&amp;I17,E17)&amp;IF(AND(Q17="",LOOKUP(2,1/((Overview!$L$3:$L$62&lt;=ROW()-2)*(Overview!$M$3:$M$62&gt;=ROW()-2)),Overview!$W$3:$W$62)=""),"",", "&amp;IF(Q17&lt;&gt;"",Q17,"")&amp;IF(AND(Q17&lt;&gt;"",LOOKUP(2,1/((Overview!$L$3:$L$62&lt;=ROW()-2)*(Overview!$M$3:$M$62&gt;=ROW()-2)),Overview!$W$3:$W$62)&lt;&gt;"")," ","")&amp;LOOKUP(2,1/((Overview!$L$3:$L$62&lt;=ROW()-2)*(Overview!$M$3:$M$62&gt;=ROW()-2)),Overview!$W$3:$W$62)))</f>
        <v>YPDA, 3, 24h growth</v>
      </c>
      <c r="S17" t="str">
        <f t="shared" si="1"/>
        <v>Duplicate resolved by Set</v>
      </c>
      <c r="U17" s="10" t="str">
        <f>IF(A17="","",O17&amp;IF(LOOKUP(2,1/((Overview!$L$3:$L$62&lt;=ROW()-2)*(Overview!$M$3:$M$62&gt;=ROW()-2)),Overview!$T$3:$T$62)&lt;&gt;"","_"&amp;LOOKUP(2,1/((Overview!$L$3:$L$62&lt;=ROW()-2)*(Overview!$M$3:$M$62&gt;=ROW()-2)),Overview!$T$3:$T$62),"")&amp;IF(Q17&lt;&gt;"","_"&amp;Q17,"")&amp;IF(E17&lt;&gt;"","_"&amp;E17,"")&amp;LOOKUP(2,1/((Overview!$L$3:$L$62&lt;=ROW()-2)*(Overview!$M$3:$M$62&gt;=ROW()-2)),Overview!$X$3:$X$62))</f>
        <v>14.08.26_24h_YPDA, 3.jpg</v>
      </c>
      <c r="V17">
        <f t="shared" si="2"/>
        <v>2</v>
      </c>
      <c r="W17" t="str">
        <f>IF(U17="","",O17&amp;IF(LOOKUP(2,1/((Overview!$L$3:$L$62&lt;=ROW()-2)*(Overview!$M$3:$M$62&gt;=ROW()-2)),Overview!$T$3:$T$62)&lt;&gt;"","_"&amp;LOOKUP(2,1/((Overview!$L$3:$L$62&lt;=ROW()-2)*(Overview!$M$3:$M$62&gt;=ROW()-2)),Overview!$T$3:$T$62),"")&amp;"_"&amp;IF(LEFT(LOWER(TRIM(F17)),3)="set",TRIM(F17),"Set"&amp;TRIM(F17))&amp;IF(Q17&lt;&gt;"","_"&amp;Q17,"")&amp;IF(E17&lt;&gt;"","_"&amp;E17,"")&amp;LOOKUP(2,1/((Overview!$L$3:$L$62&lt;=ROW()-2)*(Overview!$M$3:$M$62&gt;=ROW()-2)),Overview!$X$3:$X$62))</f>
        <v>14.08.26_SetB_24h_YPDA, 3.jpg</v>
      </c>
      <c r="X17">
        <f t="shared" si="3"/>
        <v>1</v>
      </c>
    </row>
    <row r="18" spans="1:24" ht="13.9" thickBot="1">
      <c r="A18" s="5">
        <f>IF(ROW()-2&gt;SUMIFS(Overview!$K$3:$K$62,Overview!$N$3:$N$62,"OK"),"",LOOKUP(2,1/((Overview!$L$3:$L$62&lt;=ROW()-2)*(Overview!$M$3:$M$62&gt;=ROW()-2)),Overview!$R$3:$R$62))</f>
        <v>1</v>
      </c>
      <c r="B18" s="5" t="str">
        <f>IF(A18="","",LOOKUP(2,1/((Overview!$L$3:$L$62&lt;=ROW()-2)*(Overview!$M$3:$M$62&gt;=ROW()-2)),Overview!$O$3:$O$62))</f>
        <v>14.08.26_24h</v>
      </c>
      <c r="C18" s="5" t="str">
        <f>IF(A18="","",LOOKUP(2,1/((Overview!$L$3:$L$62&lt;=ROW()-2)*(Overview!$M$3:$M$62&gt;=ROW()-2)),Overview!$Y$3:$Y$62))</f>
        <v>E1_14.08.26_24h</v>
      </c>
      <c r="D18" s="32">
        <f>IF(A18="","",ROW()-2-LOOKUP(2,1/((Overview!$L$3:$L$62&lt;=ROW()-2)*(Overview!$M$3:$M$62&gt;=ROW()-2)),Overview!$L$3:$L$62)+1)</f>
        <v>16</v>
      </c>
      <c r="E18" s="24" t="str">
        <f>IF(A18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18" s="32" t="str">
        <f>IF(A18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18" s="113" t="str">
        <f>IF(A18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8" s="24" t="str">
        <f>IF(A18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8" s="24">
        <f>IF(A18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18" s="32" t="str">
        <f>IF(A18="","","image"&amp;D18&amp;LOOKUP(2,1/((Overview!$L$3:$L$62&lt;=ROW()-2)*(Overview!$M$3:$M$62&gt;=ROW()-2)),Overview!$X$3:$X$62))</f>
        <v>image16.jpg</v>
      </c>
      <c r="K18" s="113" t="str">
        <f t="shared" si="0"/>
        <v>E1_14.08.26_24h_I016</v>
      </c>
      <c r="L18" s="103" t="str">
        <f>IF(U18="","",IF(V18=1,U18,IF(X18=1,W18,LEFT(W18,LEN(W18)-LEN(LOOKUP(2,1/((Overview!$L$3:$L$62&lt;=ROW()-2)*(Overview!$M$3:$M$62&gt;=ROW()-2)),Overview!$X$3:$X$62)))&amp;IF(COUNTIF($W$3:W18,W18)=1,"","__"&amp;COUNTIF($W$3:W18,W18))&amp;LOOKUP(2,1/((Overview!$L$3:$L$62&lt;=ROW()-2)*(Overview!$M$3:$M$62&gt;=ROW()-2)),Overview!$X$3:$X$62))))</f>
        <v>14.08.26_SetB_24h_YPDA, 4.jpg</v>
      </c>
      <c r="M18" s="5" t="str">
        <f>IF(A18="","",LOOKUP(2,1/((Overview!$L$3:$L$62&lt;=ROW()-2)*(Overview!$M$3:$M$62&gt;=ROW()-2)),Overview!$U$3:$U$62))</f>
        <v>Arrangement 1</v>
      </c>
      <c r="N18" s="5" t="str">
        <f>IF(A18="","",LOOKUP(2,1/((Overview!$L$3:$L$62&lt;=ROW()-2)*(Overview!$M$3:$M$62&gt;=ROW()-2)),Overview!$V$3:$V$62))</f>
        <v>annotationSet 1</v>
      </c>
      <c r="O18" s="5" t="str">
        <f>IF(A18="","",LOOKUP(2,1/((Overview!$L$3:$L$62&lt;=ROW()-2)*(Overview!$M$3:$M$62&gt;=ROW()-2)),Overview!$B$3:$B$62))</f>
        <v>14.08.26</v>
      </c>
      <c r="P18" s="14">
        <f>IF(A18="","",LOOKUP(2,1/((Overview!$L$3:$L$62&lt;=ROW()-2)*(Overview!$M$3:$M$62&gt;=ROW()-2)),Overview!$S$3:$S$62))</f>
        <v>46248</v>
      </c>
      <c r="Q18" s="5" t="str">
        <f>IF(A18="","",LOOKUP(2,1/((Overview!$L$3:$L$62&lt;=ROW()-2)*(Overview!$M$3:$M$62&gt;=ROW()-2)),Overview!$C$3:$C$62))</f>
        <v>24h</v>
      </c>
      <c r="R18" s="22" t="str">
        <f>IF(E18="","",IF(AND(I18&lt;&gt;"",LOOKUP(2,1/((Overview!$L$3:$L$62&lt;=ROW()-2)*(Overview!$M$3:$M$62&gt;=ROW()-2)),Overview!$Z$3:$Z$62)&lt;&gt;""),LEFT(E18,LEN(E18)-LEN(I18))&amp;LOOKUP(2,1/((Overview!$L$3:$L$62&lt;=ROW()-2)*(Overview!$M$3:$M$62&gt;=ROW()-2)),Overview!$Z$3:$Z$62)&amp;" "&amp;I18,E18)&amp;IF(AND(Q18="",LOOKUP(2,1/((Overview!$L$3:$L$62&lt;=ROW()-2)*(Overview!$M$3:$M$62&gt;=ROW()-2)),Overview!$W$3:$W$62)=""),"",", "&amp;IF(Q18&lt;&gt;"",Q18,"")&amp;IF(AND(Q18&lt;&gt;"",LOOKUP(2,1/((Overview!$L$3:$L$62&lt;=ROW()-2)*(Overview!$M$3:$M$62&gt;=ROW()-2)),Overview!$W$3:$W$62)&lt;&gt;"")," ","")&amp;LOOKUP(2,1/((Overview!$L$3:$L$62&lt;=ROW()-2)*(Overview!$M$3:$M$62&gt;=ROW()-2)),Overview!$W$3:$W$62)))</f>
        <v>YPDA, 4, 24h growth</v>
      </c>
      <c r="S18" t="str">
        <f t="shared" si="1"/>
        <v>Duplicate resolved by Set</v>
      </c>
      <c r="U18" s="10" t="str">
        <f>IF(A18="","",O18&amp;IF(LOOKUP(2,1/((Overview!$L$3:$L$62&lt;=ROW()-2)*(Overview!$M$3:$M$62&gt;=ROW()-2)),Overview!$T$3:$T$62)&lt;&gt;"","_"&amp;LOOKUP(2,1/((Overview!$L$3:$L$62&lt;=ROW()-2)*(Overview!$M$3:$M$62&gt;=ROW()-2)),Overview!$T$3:$T$62),"")&amp;IF(Q18&lt;&gt;"","_"&amp;Q18,"")&amp;IF(E18&lt;&gt;"","_"&amp;E18,"")&amp;LOOKUP(2,1/((Overview!$L$3:$L$62&lt;=ROW()-2)*(Overview!$M$3:$M$62&gt;=ROW()-2)),Overview!$X$3:$X$62))</f>
        <v>14.08.26_24h_YPDA, 4.jpg</v>
      </c>
      <c r="V18">
        <f t="shared" si="2"/>
        <v>2</v>
      </c>
      <c r="W18" t="str">
        <f>IF(U18="","",O18&amp;IF(LOOKUP(2,1/((Overview!$L$3:$L$62&lt;=ROW()-2)*(Overview!$M$3:$M$62&gt;=ROW()-2)),Overview!$T$3:$T$62)&lt;&gt;"","_"&amp;LOOKUP(2,1/((Overview!$L$3:$L$62&lt;=ROW()-2)*(Overview!$M$3:$M$62&gt;=ROW()-2)),Overview!$T$3:$T$62),"")&amp;"_"&amp;IF(LEFT(LOWER(TRIM(F18)),3)="set",TRIM(F18),"Set"&amp;TRIM(F18))&amp;IF(Q18&lt;&gt;"","_"&amp;Q18,"")&amp;IF(E18&lt;&gt;"","_"&amp;E18,"")&amp;LOOKUP(2,1/((Overview!$L$3:$L$62&lt;=ROW()-2)*(Overview!$M$3:$M$62&gt;=ROW()-2)),Overview!$X$3:$X$62))</f>
        <v>14.08.26_SetB_24h_YPDA, 4.jpg</v>
      </c>
      <c r="X18">
        <f t="shared" si="3"/>
        <v>1</v>
      </c>
    </row>
    <row r="19" spans="1:24" ht="13.9" thickBot="1">
      <c r="A19" s="5">
        <f>IF(ROW()-2&gt;SUMIFS(Overview!$K$3:$K$62,Overview!$N$3:$N$62,"OK"),"",LOOKUP(2,1/((Overview!$L$3:$L$62&lt;=ROW()-2)*(Overview!$M$3:$M$62&gt;=ROW()-2)),Overview!$R$3:$R$62))</f>
        <v>1</v>
      </c>
      <c r="B19" s="5" t="str">
        <f>IF(A19="","",LOOKUP(2,1/((Overview!$L$3:$L$62&lt;=ROW()-2)*(Overview!$M$3:$M$62&gt;=ROW()-2)),Overview!$O$3:$O$62))</f>
        <v>14.08.26_24h</v>
      </c>
      <c r="C19" s="5" t="str">
        <f>IF(A19="","",LOOKUP(2,1/((Overview!$L$3:$L$62&lt;=ROW()-2)*(Overview!$M$3:$M$62&gt;=ROW()-2)),Overview!$Y$3:$Y$62))</f>
        <v>E1_14.08.26_24h</v>
      </c>
      <c r="D19" s="32">
        <f>IF(A19="","",ROW()-2-LOOKUP(2,1/((Overview!$L$3:$L$62&lt;=ROW()-2)*(Overview!$M$3:$M$62&gt;=ROW()-2)),Overview!$L$3:$L$62)+1)</f>
        <v>17</v>
      </c>
      <c r="E19" s="30" t="str">
        <f>IF(A19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19" s="32" t="str">
        <f>IF(A19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19" s="113" t="str">
        <f>IF(A19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19" s="30" t="str">
        <f>IF(A19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19" s="30">
        <f>IF(A19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19" s="32" t="str">
        <f>IF(A19="","","image"&amp;D19&amp;LOOKUP(2,1/((Overview!$L$3:$L$62&lt;=ROW()-2)*(Overview!$M$3:$M$62&gt;=ROW()-2)),Overview!$X$3:$X$62))</f>
        <v>image17.jpg</v>
      </c>
      <c r="K19" s="113" t="str">
        <f t="shared" si="0"/>
        <v>E1_14.08.26_24h_I017</v>
      </c>
      <c r="L19" s="103" t="str">
        <f>IF(U19="","",IF(V19=1,U19,IF(X19=1,W19,LEFT(W19,LEN(W19)-LEN(LOOKUP(2,1/((Overview!$L$3:$L$62&lt;=ROW()-2)*(Overview!$M$3:$M$62&gt;=ROW()-2)),Overview!$X$3:$X$62)))&amp;IF(COUNTIF($W$3:W19,W19)=1,"","__"&amp;COUNTIF($W$3:W19,W19))&amp;LOOKUP(2,1/((Overview!$L$3:$L$62&lt;=ROW()-2)*(Overview!$M$3:$M$62&gt;=ROW()-2)),Overview!$X$3:$X$62))))</f>
        <v>14.08.26_SetB_24h_YPDA + heat, 1.jpg</v>
      </c>
      <c r="M19" s="5" t="str">
        <f>IF(A19="","",LOOKUP(2,1/((Overview!$L$3:$L$62&lt;=ROW()-2)*(Overview!$M$3:$M$62&gt;=ROW()-2)),Overview!$U$3:$U$62))</f>
        <v>Arrangement 1</v>
      </c>
      <c r="N19" s="5" t="str">
        <f>IF(A19="","",LOOKUP(2,1/((Overview!$L$3:$L$62&lt;=ROW()-2)*(Overview!$M$3:$M$62&gt;=ROW()-2)),Overview!$V$3:$V$62))</f>
        <v>annotationSet 1</v>
      </c>
      <c r="O19" s="5" t="str">
        <f>IF(A19="","",LOOKUP(2,1/((Overview!$L$3:$L$62&lt;=ROW()-2)*(Overview!$M$3:$M$62&gt;=ROW()-2)),Overview!$B$3:$B$62))</f>
        <v>14.08.26</v>
      </c>
      <c r="P19" s="14">
        <f>IF(A19="","",LOOKUP(2,1/((Overview!$L$3:$L$62&lt;=ROW()-2)*(Overview!$M$3:$M$62&gt;=ROW()-2)),Overview!$S$3:$S$62))</f>
        <v>46248</v>
      </c>
      <c r="Q19" s="5" t="str">
        <f>IF(A19="","",LOOKUP(2,1/((Overview!$L$3:$L$62&lt;=ROW()-2)*(Overview!$M$3:$M$62&gt;=ROW()-2)),Overview!$C$3:$C$62))</f>
        <v>24h</v>
      </c>
      <c r="R19" s="22" t="str">
        <f>IF(E19="","",IF(AND(I19&lt;&gt;"",LOOKUP(2,1/((Overview!$L$3:$L$62&lt;=ROW()-2)*(Overview!$M$3:$M$62&gt;=ROW()-2)),Overview!$Z$3:$Z$62)&lt;&gt;""),LEFT(E19,LEN(E19)-LEN(I19))&amp;LOOKUP(2,1/((Overview!$L$3:$L$62&lt;=ROW()-2)*(Overview!$M$3:$M$62&gt;=ROW()-2)),Overview!$Z$3:$Z$62)&amp;" "&amp;I19,E19)&amp;IF(AND(Q19="",LOOKUP(2,1/((Overview!$L$3:$L$62&lt;=ROW()-2)*(Overview!$M$3:$M$62&gt;=ROW()-2)),Overview!$W$3:$W$62)=""),"",", "&amp;IF(Q19&lt;&gt;"",Q19,"")&amp;IF(AND(Q19&lt;&gt;"",LOOKUP(2,1/((Overview!$L$3:$L$62&lt;=ROW()-2)*(Overview!$M$3:$M$62&gt;=ROW()-2)),Overview!$W$3:$W$62)&lt;&gt;"")," ","")&amp;LOOKUP(2,1/((Overview!$L$3:$L$62&lt;=ROW()-2)*(Overview!$M$3:$M$62&gt;=ROW()-2)),Overview!$W$3:$W$62)))</f>
        <v>YPDA + heat, 1, 24h growth</v>
      </c>
      <c r="S19" t="str">
        <f t="shared" si="1"/>
        <v>Duplicate resolved by Set</v>
      </c>
      <c r="U19" s="10" t="str">
        <f>IF(A19="","",O19&amp;IF(LOOKUP(2,1/((Overview!$L$3:$L$62&lt;=ROW()-2)*(Overview!$M$3:$M$62&gt;=ROW()-2)),Overview!$T$3:$T$62)&lt;&gt;"","_"&amp;LOOKUP(2,1/((Overview!$L$3:$L$62&lt;=ROW()-2)*(Overview!$M$3:$M$62&gt;=ROW()-2)),Overview!$T$3:$T$62),"")&amp;IF(Q19&lt;&gt;"","_"&amp;Q19,"")&amp;IF(E19&lt;&gt;"","_"&amp;E19,"")&amp;LOOKUP(2,1/((Overview!$L$3:$L$62&lt;=ROW()-2)*(Overview!$M$3:$M$62&gt;=ROW()-2)),Overview!$X$3:$X$62))</f>
        <v>14.08.26_24h_YPDA + heat, 1.jpg</v>
      </c>
      <c r="V19">
        <f t="shared" si="2"/>
        <v>2</v>
      </c>
      <c r="W19" t="str">
        <f>IF(U19="","",O19&amp;IF(LOOKUP(2,1/((Overview!$L$3:$L$62&lt;=ROW()-2)*(Overview!$M$3:$M$62&gt;=ROW()-2)),Overview!$T$3:$T$62)&lt;&gt;"","_"&amp;LOOKUP(2,1/((Overview!$L$3:$L$62&lt;=ROW()-2)*(Overview!$M$3:$M$62&gt;=ROW()-2)),Overview!$T$3:$T$62),"")&amp;"_"&amp;IF(LEFT(LOWER(TRIM(F19)),3)="set",TRIM(F19),"Set"&amp;TRIM(F19))&amp;IF(Q19&lt;&gt;"","_"&amp;Q19,"")&amp;IF(E19&lt;&gt;"","_"&amp;E19,"")&amp;LOOKUP(2,1/((Overview!$L$3:$L$62&lt;=ROW()-2)*(Overview!$M$3:$M$62&gt;=ROW()-2)),Overview!$X$3:$X$62))</f>
        <v>14.08.26_SetB_24h_YPDA + heat, 1.jpg</v>
      </c>
      <c r="X19">
        <f t="shared" si="3"/>
        <v>1</v>
      </c>
    </row>
    <row r="20" spans="1:24" ht="13.9" thickBot="1">
      <c r="A20" s="5">
        <f>IF(ROW()-2&gt;SUMIFS(Overview!$K$3:$K$62,Overview!$N$3:$N$62,"OK"),"",LOOKUP(2,1/((Overview!$L$3:$L$62&lt;=ROW()-2)*(Overview!$M$3:$M$62&gt;=ROW()-2)),Overview!$R$3:$R$62))</f>
        <v>1</v>
      </c>
      <c r="B20" s="5" t="str">
        <f>IF(A20="","",LOOKUP(2,1/((Overview!$L$3:$L$62&lt;=ROW()-2)*(Overview!$M$3:$M$62&gt;=ROW()-2)),Overview!$O$3:$O$62))</f>
        <v>14.08.26_24h</v>
      </c>
      <c r="C20" s="5" t="str">
        <f>IF(A20="","",LOOKUP(2,1/((Overview!$L$3:$L$62&lt;=ROW()-2)*(Overview!$M$3:$M$62&gt;=ROW()-2)),Overview!$Y$3:$Y$62))</f>
        <v>E1_14.08.26_24h</v>
      </c>
      <c r="D20" s="32">
        <f>IF(A20="","",ROW()-2-LOOKUP(2,1/((Overview!$L$3:$L$62&lt;=ROW()-2)*(Overview!$M$3:$M$62&gt;=ROW()-2)),Overview!$L$3:$L$62)+1)</f>
        <v>18</v>
      </c>
      <c r="E20" s="30" t="str">
        <f>IF(A20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20" s="32" t="str">
        <f>IF(A20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0" s="113" t="str">
        <f>IF(A20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0" s="30" t="str">
        <f>IF(A20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20" s="30">
        <f>IF(A20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20" s="32" t="str">
        <f>IF(A20="","","image"&amp;D20&amp;LOOKUP(2,1/((Overview!$L$3:$L$62&lt;=ROW()-2)*(Overview!$M$3:$M$62&gt;=ROW()-2)),Overview!$X$3:$X$62))</f>
        <v>image18.jpg</v>
      </c>
      <c r="K20" s="113" t="str">
        <f t="shared" si="0"/>
        <v>E1_14.08.26_24h_I018</v>
      </c>
      <c r="L20" s="103" t="str">
        <f>IF(U20="","",IF(V20=1,U20,IF(X20=1,W20,LEFT(W20,LEN(W20)-LEN(LOOKUP(2,1/((Overview!$L$3:$L$62&lt;=ROW()-2)*(Overview!$M$3:$M$62&gt;=ROW()-2)),Overview!$X$3:$X$62)))&amp;IF(COUNTIF($W$3:W20,W20)=1,"","__"&amp;COUNTIF($W$3:W20,W20))&amp;LOOKUP(2,1/((Overview!$L$3:$L$62&lt;=ROW()-2)*(Overview!$M$3:$M$62&gt;=ROW()-2)),Overview!$X$3:$X$62))))</f>
        <v>14.08.26_SetB_24h_YPDA + heat, 2.jpg</v>
      </c>
      <c r="M20" s="5" t="str">
        <f>IF(A20="","",LOOKUP(2,1/((Overview!$L$3:$L$62&lt;=ROW()-2)*(Overview!$M$3:$M$62&gt;=ROW()-2)),Overview!$U$3:$U$62))</f>
        <v>Arrangement 1</v>
      </c>
      <c r="N20" s="5" t="str">
        <f>IF(A20="","",LOOKUP(2,1/((Overview!$L$3:$L$62&lt;=ROW()-2)*(Overview!$M$3:$M$62&gt;=ROW()-2)),Overview!$V$3:$V$62))</f>
        <v>annotationSet 1</v>
      </c>
      <c r="O20" s="5" t="str">
        <f>IF(A20="","",LOOKUP(2,1/((Overview!$L$3:$L$62&lt;=ROW()-2)*(Overview!$M$3:$M$62&gt;=ROW()-2)),Overview!$B$3:$B$62))</f>
        <v>14.08.26</v>
      </c>
      <c r="P20" s="14">
        <f>IF(A20="","",LOOKUP(2,1/((Overview!$L$3:$L$62&lt;=ROW()-2)*(Overview!$M$3:$M$62&gt;=ROW()-2)),Overview!$S$3:$S$62))</f>
        <v>46248</v>
      </c>
      <c r="Q20" s="5" t="str">
        <f>IF(A20="","",LOOKUP(2,1/((Overview!$L$3:$L$62&lt;=ROW()-2)*(Overview!$M$3:$M$62&gt;=ROW()-2)),Overview!$C$3:$C$62))</f>
        <v>24h</v>
      </c>
      <c r="R20" s="22" t="str">
        <f>IF(E20="","",IF(AND(I20&lt;&gt;"",LOOKUP(2,1/((Overview!$L$3:$L$62&lt;=ROW()-2)*(Overview!$M$3:$M$62&gt;=ROW()-2)),Overview!$Z$3:$Z$62)&lt;&gt;""),LEFT(E20,LEN(E20)-LEN(I20))&amp;LOOKUP(2,1/((Overview!$L$3:$L$62&lt;=ROW()-2)*(Overview!$M$3:$M$62&gt;=ROW()-2)),Overview!$Z$3:$Z$62)&amp;" "&amp;I20,E20)&amp;IF(AND(Q20="",LOOKUP(2,1/((Overview!$L$3:$L$62&lt;=ROW()-2)*(Overview!$M$3:$M$62&gt;=ROW()-2)),Overview!$W$3:$W$62)=""),"",", "&amp;IF(Q20&lt;&gt;"",Q20,"")&amp;IF(AND(Q20&lt;&gt;"",LOOKUP(2,1/((Overview!$L$3:$L$62&lt;=ROW()-2)*(Overview!$M$3:$M$62&gt;=ROW()-2)),Overview!$W$3:$W$62)&lt;&gt;"")," ","")&amp;LOOKUP(2,1/((Overview!$L$3:$L$62&lt;=ROW()-2)*(Overview!$M$3:$M$62&gt;=ROW()-2)),Overview!$W$3:$W$62)))</f>
        <v>YPDA + heat, 2, 24h growth</v>
      </c>
      <c r="S20" t="str">
        <f t="shared" si="1"/>
        <v>Duplicate resolved by Set</v>
      </c>
      <c r="U20" s="10" t="str">
        <f>IF(A20="","",O20&amp;IF(LOOKUP(2,1/((Overview!$L$3:$L$62&lt;=ROW()-2)*(Overview!$M$3:$M$62&gt;=ROW()-2)),Overview!$T$3:$T$62)&lt;&gt;"","_"&amp;LOOKUP(2,1/((Overview!$L$3:$L$62&lt;=ROW()-2)*(Overview!$M$3:$M$62&gt;=ROW()-2)),Overview!$T$3:$T$62),"")&amp;IF(Q20&lt;&gt;"","_"&amp;Q20,"")&amp;IF(E20&lt;&gt;"","_"&amp;E20,"")&amp;LOOKUP(2,1/((Overview!$L$3:$L$62&lt;=ROW()-2)*(Overview!$M$3:$M$62&gt;=ROW()-2)),Overview!$X$3:$X$62))</f>
        <v>14.08.26_24h_YPDA + heat, 2.jpg</v>
      </c>
      <c r="V20">
        <f t="shared" si="2"/>
        <v>2</v>
      </c>
      <c r="W20" t="str">
        <f>IF(U20="","",O20&amp;IF(LOOKUP(2,1/((Overview!$L$3:$L$62&lt;=ROW()-2)*(Overview!$M$3:$M$62&gt;=ROW()-2)),Overview!$T$3:$T$62)&lt;&gt;"","_"&amp;LOOKUP(2,1/((Overview!$L$3:$L$62&lt;=ROW()-2)*(Overview!$M$3:$M$62&gt;=ROW()-2)),Overview!$T$3:$T$62),"")&amp;"_"&amp;IF(LEFT(LOWER(TRIM(F20)),3)="set",TRIM(F20),"Set"&amp;TRIM(F20))&amp;IF(Q20&lt;&gt;"","_"&amp;Q20,"")&amp;IF(E20&lt;&gt;"","_"&amp;E20,"")&amp;LOOKUP(2,1/((Overview!$L$3:$L$62&lt;=ROW()-2)*(Overview!$M$3:$M$62&gt;=ROW()-2)),Overview!$X$3:$X$62))</f>
        <v>14.08.26_SetB_24h_YPDA + heat, 2.jpg</v>
      </c>
      <c r="X20">
        <f t="shared" si="3"/>
        <v>1</v>
      </c>
    </row>
    <row r="21" spans="1:24" ht="13.9" thickBot="1">
      <c r="A21" s="5">
        <f>IF(ROW()-2&gt;SUMIFS(Overview!$K$3:$K$62,Overview!$N$3:$N$62,"OK"),"",LOOKUP(2,1/((Overview!$L$3:$L$62&lt;=ROW()-2)*(Overview!$M$3:$M$62&gt;=ROW()-2)),Overview!$R$3:$R$62))</f>
        <v>1</v>
      </c>
      <c r="B21" s="5" t="str">
        <f>IF(A21="","",LOOKUP(2,1/((Overview!$L$3:$L$62&lt;=ROW()-2)*(Overview!$M$3:$M$62&gt;=ROW()-2)),Overview!$O$3:$O$62))</f>
        <v>14.08.26_24h</v>
      </c>
      <c r="C21" s="5" t="str">
        <f>IF(A21="","",LOOKUP(2,1/((Overview!$L$3:$L$62&lt;=ROW()-2)*(Overview!$M$3:$M$62&gt;=ROW()-2)),Overview!$Y$3:$Y$62))</f>
        <v>E1_14.08.26_24h</v>
      </c>
      <c r="D21" s="32">
        <f>IF(A21="","",ROW()-2-LOOKUP(2,1/((Overview!$L$3:$L$62&lt;=ROW()-2)*(Overview!$M$3:$M$62&gt;=ROW()-2)),Overview!$L$3:$L$62)+1)</f>
        <v>19</v>
      </c>
      <c r="E21" s="30" t="str">
        <f>IF(A21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21" s="32" t="str">
        <f>IF(A21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1" s="113" t="str">
        <f>IF(A21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1" s="30" t="str">
        <f>IF(A21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21" s="30">
        <f>IF(A21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21" s="32" t="str">
        <f>IF(A21="","","image"&amp;D21&amp;LOOKUP(2,1/((Overview!$L$3:$L$62&lt;=ROW()-2)*(Overview!$M$3:$M$62&gt;=ROW()-2)),Overview!$X$3:$X$62))</f>
        <v>image19.jpg</v>
      </c>
      <c r="K21" s="113" t="str">
        <f t="shared" si="0"/>
        <v>E1_14.08.26_24h_I019</v>
      </c>
      <c r="L21" s="103" t="str">
        <f>IF(U21="","",IF(V21=1,U21,IF(X21=1,W21,LEFT(W21,LEN(W21)-LEN(LOOKUP(2,1/((Overview!$L$3:$L$62&lt;=ROW()-2)*(Overview!$M$3:$M$62&gt;=ROW()-2)),Overview!$X$3:$X$62)))&amp;IF(COUNTIF($W$3:W21,W21)=1,"","__"&amp;COUNTIF($W$3:W21,W21))&amp;LOOKUP(2,1/((Overview!$L$3:$L$62&lt;=ROW()-2)*(Overview!$M$3:$M$62&gt;=ROW()-2)),Overview!$X$3:$X$62))))</f>
        <v>14.08.26_SetB_24h_YPDA + heat, 3.jpg</v>
      </c>
      <c r="M21" s="5" t="str">
        <f>IF(A21="","",LOOKUP(2,1/((Overview!$L$3:$L$62&lt;=ROW()-2)*(Overview!$M$3:$M$62&gt;=ROW()-2)),Overview!$U$3:$U$62))</f>
        <v>Arrangement 1</v>
      </c>
      <c r="N21" s="5" t="str">
        <f>IF(A21="","",LOOKUP(2,1/((Overview!$L$3:$L$62&lt;=ROW()-2)*(Overview!$M$3:$M$62&gt;=ROW()-2)),Overview!$V$3:$V$62))</f>
        <v>annotationSet 1</v>
      </c>
      <c r="O21" s="5" t="str">
        <f>IF(A21="","",LOOKUP(2,1/((Overview!$L$3:$L$62&lt;=ROW()-2)*(Overview!$M$3:$M$62&gt;=ROW()-2)),Overview!$B$3:$B$62))</f>
        <v>14.08.26</v>
      </c>
      <c r="P21" s="14">
        <f>IF(A21="","",LOOKUP(2,1/((Overview!$L$3:$L$62&lt;=ROW()-2)*(Overview!$M$3:$M$62&gt;=ROW()-2)),Overview!$S$3:$S$62))</f>
        <v>46248</v>
      </c>
      <c r="Q21" s="5" t="str">
        <f>IF(A21="","",LOOKUP(2,1/((Overview!$L$3:$L$62&lt;=ROW()-2)*(Overview!$M$3:$M$62&gt;=ROW()-2)),Overview!$C$3:$C$62))</f>
        <v>24h</v>
      </c>
      <c r="R21" s="22" t="str">
        <f>IF(E21="","",IF(AND(I21&lt;&gt;"",LOOKUP(2,1/((Overview!$L$3:$L$62&lt;=ROW()-2)*(Overview!$M$3:$M$62&gt;=ROW()-2)),Overview!$Z$3:$Z$62)&lt;&gt;""),LEFT(E21,LEN(E21)-LEN(I21))&amp;LOOKUP(2,1/((Overview!$L$3:$L$62&lt;=ROW()-2)*(Overview!$M$3:$M$62&gt;=ROW()-2)),Overview!$Z$3:$Z$62)&amp;" "&amp;I21,E21)&amp;IF(AND(Q21="",LOOKUP(2,1/((Overview!$L$3:$L$62&lt;=ROW()-2)*(Overview!$M$3:$M$62&gt;=ROW()-2)),Overview!$W$3:$W$62)=""),"",", "&amp;IF(Q21&lt;&gt;"",Q21,"")&amp;IF(AND(Q21&lt;&gt;"",LOOKUP(2,1/((Overview!$L$3:$L$62&lt;=ROW()-2)*(Overview!$M$3:$M$62&gt;=ROW()-2)),Overview!$W$3:$W$62)&lt;&gt;"")," ","")&amp;LOOKUP(2,1/((Overview!$L$3:$L$62&lt;=ROW()-2)*(Overview!$M$3:$M$62&gt;=ROW()-2)),Overview!$W$3:$W$62)))</f>
        <v>YPDA + heat, 3, 24h growth</v>
      </c>
      <c r="S21" t="str">
        <f t="shared" si="1"/>
        <v>Duplicate resolved by Set</v>
      </c>
      <c r="U21" s="10" t="str">
        <f>IF(A21="","",O21&amp;IF(LOOKUP(2,1/((Overview!$L$3:$L$62&lt;=ROW()-2)*(Overview!$M$3:$M$62&gt;=ROW()-2)),Overview!$T$3:$T$62)&lt;&gt;"","_"&amp;LOOKUP(2,1/((Overview!$L$3:$L$62&lt;=ROW()-2)*(Overview!$M$3:$M$62&gt;=ROW()-2)),Overview!$T$3:$T$62),"")&amp;IF(Q21&lt;&gt;"","_"&amp;Q21,"")&amp;IF(E21&lt;&gt;"","_"&amp;E21,"")&amp;LOOKUP(2,1/((Overview!$L$3:$L$62&lt;=ROW()-2)*(Overview!$M$3:$M$62&gt;=ROW()-2)),Overview!$X$3:$X$62))</f>
        <v>14.08.26_24h_YPDA + heat, 3.jpg</v>
      </c>
      <c r="V21">
        <f t="shared" si="2"/>
        <v>2</v>
      </c>
      <c r="W21" t="str">
        <f>IF(U21="","",O21&amp;IF(LOOKUP(2,1/((Overview!$L$3:$L$62&lt;=ROW()-2)*(Overview!$M$3:$M$62&gt;=ROW()-2)),Overview!$T$3:$T$62)&lt;&gt;"","_"&amp;LOOKUP(2,1/((Overview!$L$3:$L$62&lt;=ROW()-2)*(Overview!$M$3:$M$62&gt;=ROW()-2)),Overview!$T$3:$T$62),"")&amp;"_"&amp;IF(LEFT(LOWER(TRIM(F21)),3)="set",TRIM(F21),"Set"&amp;TRIM(F21))&amp;IF(Q21&lt;&gt;"","_"&amp;Q21,"")&amp;IF(E21&lt;&gt;"","_"&amp;E21,"")&amp;LOOKUP(2,1/((Overview!$L$3:$L$62&lt;=ROW()-2)*(Overview!$M$3:$M$62&gt;=ROW()-2)),Overview!$X$3:$X$62))</f>
        <v>14.08.26_SetB_24h_YPDA + heat, 3.jpg</v>
      </c>
      <c r="X21">
        <f t="shared" si="3"/>
        <v>1</v>
      </c>
    </row>
    <row r="22" spans="1:24" ht="13.9" thickBot="1">
      <c r="A22" s="5">
        <f>IF(ROW()-2&gt;SUMIFS(Overview!$K$3:$K$62,Overview!$N$3:$N$62,"OK"),"",LOOKUP(2,1/((Overview!$L$3:$L$62&lt;=ROW()-2)*(Overview!$M$3:$M$62&gt;=ROW()-2)),Overview!$R$3:$R$62))</f>
        <v>1</v>
      </c>
      <c r="B22" s="5" t="str">
        <f>IF(A22="","",LOOKUP(2,1/((Overview!$L$3:$L$62&lt;=ROW()-2)*(Overview!$M$3:$M$62&gt;=ROW()-2)),Overview!$O$3:$O$62))</f>
        <v>14.08.26_24h</v>
      </c>
      <c r="C22" s="5" t="str">
        <f>IF(A22="","",LOOKUP(2,1/((Overview!$L$3:$L$62&lt;=ROW()-2)*(Overview!$M$3:$M$62&gt;=ROW()-2)),Overview!$Y$3:$Y$62))</f>
        <v>E1_14.08.26_24h</v>
      </c>
      <c r="D22" s="32">
        <f>IF(A22="","",ROW()-2-LOOKUP(2,1/((Overview!$L$3:$L$62&lt;=ROW()-2)*(Overview!$M$3:$M$62&gt;=ROW()-2)),Overview!$L$3:$L$62)+1)</f>
        <v>20</v>
      </c>
      <c r="E22" s="30" t="str">
        <f>IF(A22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22" s="32" t="str">
        <f>IF(A22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2" s="113" t="str">
        <f>IF(A22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2" s="30" t="str">
        <f>IF(A22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22" s="30">
        <f>IF(A22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22" s="32" t="str">
        <f>IF(A22="","","image"&amp;D22&amp;LOOKUP(2,1/((Overview!$L$3:$L$62&lt;=ROW()-2)*(Overview!$M$3:$M$62&gt;=ROW()-2)),Overview!$X$3:$X$62))</f>
        <v>image20.jpg</v>
      </c>
      <c r="K22" s="113" t="str">
        <f t="shared" si="0"/>
        <v>E1_14.08.26_24h_I020</v>
      </c>
      <c r="L22" s="103" t="str">
        <f>IF(U22="","",IF(V22=1,U22,IF(X22=1,W22,LEFT(W22,LEN(W22)-LEN(LOOKUP(2,1/((Overview!$L$3:$L$62&lt;=ROW()-2)*(Overview!$M$3:$M$62&gt;=ROW()-2)),Overview!$X$3:$X$62)))&amp;IF(COUNTIF($W$3:W22,W22)=1,"","__"&amp;COUNTIF($W$3:W22,W22))&amp;LOOKUP(2,1/((Overview!$L$3:$L$62&lt;=ROW()-2)*(Overview!$M$3:$M$62&gt;=ROW()-2)),Overview!$X$3:$X$62))))</f>
        <v>14.08.26_SetB_24h_YPDA + heat, 4.jpg</v>
      </c>
      <c r="M22" s="5" t="str">
        <f>IF(A22="","",LOOKUP(2,1/((Overview!$L$3:$L$62&lt;=ROW()-2)*(Overview!$M$3:$M$62&gt;=ROW()-2)),Overview!$U$3:$U$62))</f>
        <v>Arrangement 1</v>
      </c>
      <c r="N22" s="5" t="str">
        <f>IF(A22="","",LOOKUP(2,1/((Overview!$L$3:$L$62&lt;=ROW()-2)*(Overview!$M$3:$M$62&gt;=ROW()-2)),Overview!$V$3:$V$62))</f>
        <v>annotationSet 1</v>
      </c>
      <c r="O22" s="5" t="str">
        <f>IF(A22="","",LOOKUP(2,1/((Overview!$L$3:$L$62&lt;=ROW()-2)*(Overview!$M$3:$M$62&gt;=ROW()-2)),Overview!$B$3:$B$62))</f>
        <v>14.08.26</v>
      </c>
      <c r="P22" s="14">
        <f>IF(A22="","",LOOKUP(2,1/((Overview!$L$3:$L$62&lt;=ROW()-2)*(Overview!$M$3:$M$62&gt;=ROW()-2)),Overview!$S$3:$S$62))</f>
        <v>46248</v>
      </c>
      <c r="Q22" s="5" t="str">
        <f>IF(A22="","",LOOKUP(2,1/((Overview!$L$3:$L$62&lt;=ROW()-2)*(Overview!$M$3:$M$62&gt;=ROW()-2)),Overview!$C$3:$C$62))</f>
        <v>24h</v>
      </c>
      <c r="R22" s="22" t="str">
        <f>IF(E22="","",IF(AND(I22&lt;&gt;"",LOOKUP(2,1/((Overview!$L$3:$L$62&lt;=ROW()-2)*(Overview!$M$3:$M$62&gt;=ROW()-2)),Overview!$Z$3:$Z$62)&lt;&gt;""),LEFT(E22,LEN(E22)-LEN(I22))&amp;LOOKUP(2,1/((Overview!$L$3:$L$62&lt;=ROW()-2)*(Overview!$M$3:$M$62&gt;=ROW()-2)),Overview!$Z$3:$Z$62)&amp;" "&amp;I22,E22)&amp;IF(AND(Q22="",LOOKUP(2,1/((Overview!$L$3:$L$62&lt;=ROW()-2)*(Overview!$M$3:$M$62&gt;=ROW()-2)),Overview!$W$3:$W$62)=""),"",", "&amp;IF(Q22&lt;&gt;"",Q22,"")&amp;IF(AND(Q22&lt;&gt;"",LOOKUP(2,1/((Overview!$L$3:$L$62&lt;=ROW()-2)*(Overview!$M$3:$M$62&gt;=ROW()-2)),Overview!$W$3:$W$62)&lt;&gt;"")," ","")&amp;LOOKUP(2,1/((Overview!$L$3:$L$62&lt;=ROW()-2)*(Overview!$M$3:$M$62&gt;=ROW()-2)),Overview!$W$3:$W$62)))</f>
        <v>YPDA + heat, 4, 24h growth</v>
      </c>
      <c r="S22" t="str">
        <f t="shared" si="1"/>
        <v>Duplicate resolved by Set</v>
      </c>
      <c r="U22" s="10" t="str">
        <f>IF(A22="","",O22&amp;IF(LOOKUP(2,1/((Overview!$L$3:$L$62&lt;=ROW()-2)*(Overview!$M$3:$M$62&gt;=ROW()-2)),Overview!$T$3:$T$62)&lt;&gt;"","_"&amp;LOOKUP(2,1/((Overview!$L$3:$L$62&lt;=ROW()-2)*(Overview!$M$3:$M$62&gt;=ROW()-2)),Overview!$T$3:$T$62),"")&amp;IF(Q22&lt;&gt;"","_"&amp;Q22,"")&amp;IF(E22&lt;&gt;"","_"&amp;E22,"")&amp;LOOKUP(2,1/((Overview!$L$3:$L$62&lt;=ROW()-2)*(Overview!$M$3:$M$62&gt;=ROW()-2)),Overview!$X$3:$X$62))</f>
        <v>14.08.26_24h_YPDA + heat, 4.jpg</v>
      </c>
      <c r="V22">
        <f t="shared" si="2"/>
        <v>2</v>
      </c>
      <c r="W22" t="str">
        <f>IF(U22="","",O22&amp;IF(LOOKUP(2,1/((Overview!$L$3:$L$62&lt;=ROW()-2)*(Overview!$M$3:$M$62&gt;=ROW()-2)),Overview!$T$3:$T$62)&lt;&gt;"","_"&amp;LOOKUP(2,1/((Overview!$L$3:$L$62&lt;=ROW()-2)*(Overview!$M$3:$M$62&gt;=ROW()-2)),Overview!$T$3:$T$62),"")&amp;"_"&amp;IF(LEFT(LOWER(TRIM(F22)),3)="set",TRIM(F22),"Set"&amp;TRIM(F22))&amp;IF(Q22&lt;&gt;"","_"&amp;Q22,"")&amp;IF(E22&lt;&gt;"","_"&amp;E22,"")&amp;LOOKUP(2,1/((Overview!$L$3:$L$62&lt;=ROW()-2)*(Overview!$M$3:$M$62&gt;=ROW()-2)),Overview!$X$3:$X$62))</f>
        <v>14.08.26_SetB_24h_YPDA + heat, 4.jpg</v>
      </c>
      <c r="X22">
        <f t="shared" si="3"/>
        <v>1</v>
      </c>
    </row>
    <row r="23" spans="1:24" ht="13.9" thickBot="1">
      <c r="A23" s="5">
        <f>IF(ROW()-2&gt;SUMIFS(Overview!$K$3:$K$62,Overview!$N$3:$N$62,"OK"),"",LOOKUP(2,1/((Overview!$L$3:$L$62&lt;=ROW()-2)*(Overview!$M$3:$M$62&gt;=ROW()-2)),Overview!$R$3:$R$62))</f>
        <v>1</v>
      </c>
      <c r="B23" s="5" t="str">
        <f>IF(A23="","",LOOKUP(2,1/((Overview!$L$3:$L$62&lt;=ROW()-2)*(Overview!$M$3:$M$62&gt;=ROW()-2)),Overview!$O$3:$O$62))</f>
        <v>14.08.26_24h</v>
      </c>
      <c r="C23" s="5" t="str">
        <f>IF(A23="","",LOOKUP(2,1/((Overview!$L$3:$L$62&lt;=ROW()-2)*(Overview!$M$3:$M$62&gt;=ROW()-2)),Overview!$Y$3:$Y$62))</f>
        <v>E1_14.08.26_24h</v>
      </c>
      <c r="D23" s="32">
        <f>IF(A23="","",ROW()-2-LOOKUP(2,1/((Overview!$L$3:$L$62&lt;=ROW()-2)*(Overview!$M$3:$M$62&gt;=ROW()-2)),Overview!$L$3:$L$62)+1)</f>
        <v>21</v>
      </c>
      <c r="E23" s="31" t="str">
        <f>IF(A23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23" s="32" t="str">
        <f>IF(A23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3" s="113" t="str">
        <f>IF(A23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3" s="31" t="str">
        <f>IF(A23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23" s="31">
        <f>IF(A23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23" s="32" t="str">
        <f>IF(A23="","","image"&amp;D23&amp;LOOKUP(2,1/((Overview!$L$3:$L$62&lt;=ROW()-2)*(Overview!$M$3:$M$62&gt;=ROW()-2)),Overview!$X$3:$X$62))</f>
        <v>image21.jpg</v>
      </c>
      <c r="K23" s="113" t="str">
        <f t="shared" si="0"/>
        <v>E1_14.08.26_24h_I021</v>
      </c>
      <c r="L23" s="103" t="str">
        <f>IF(U23="","",IF(V23=1,U23,IF(X23=1,W23,LEFT(W23,LEN(W23)-LEN(LOOKUP(2,1/((Overview!$L$3:$L$62&lt;=ROW()-2)*(Overview!$M$3:$M$62&gt;=ROW()-2)),Overview!$X$3:$X$62)))&amp;IF(COUNTIF($W$3:W23,W23)=1,"","__"&amp;COUNTIF($W$3:W23,W23))&amp;LOOKUP(2,1/((Overview!$L$3:$L$62&lt;=ROW()-2)*(Overview!$M$3:$M$62&gt;=ROW()-2)),Overview!$X$3:$X$62))))</f>
        <v>14.08.26_SetB_24h_YPDA + salt, 1.jpg</v>
      </c>
      <c r="M23" s="5" t="str">
        <f>IF(A23="","",LOOKUP(2,1/((Overview!$L$3:$L$62&lt;=ROW()-2)*(Overview!$M$3:$M$62&gt;=ROW()-2)),Overview!$U$3:$U$62))</f>
        <v>Arrangement 1</v>
      </c>
      <c r="N23" s="5" t="str">
        <f>IF(A23="","",LOOKUP(2,1/((Overview!$L$3:$L$62&lt;=ROW()-2)*(Overview!$M$3:$M$62&gt;=ROW()-2)),Overview!$V$3:$V$62))</f>
        <v>annotationSet 1</v>
      </c>
      <c r="O23" s="5" t="str">
        <f>IF(A23="","",LOOKUP(2,1/((Overview!$L$3:$L$62&lt;=ROW()-2)*(Overview!$M$3:$M$62&gt;=ROW()-2)),Overview!$B$3:$B$62))</f>
        <v>14.08.26</v>
      </c>
      <c r="P23" s="14">
        <f>IF(A23="","",LOOKUP(2,1/((Overview!$L$3:$L$62&lt;=ROW()-2)*(Overview!$M$3:$M$62&gt;=ROW()-2)),Overview!$S$3:$S$62))</f>
        <v>46248</v>
      </c>
      <c r="Q23" s="5" t="str">
        <f>IF(A23="","",LOOKUP(2,1/((Overview!$L$3:$L$62&lt;=ROW()-2)*(Overview!$M$3:$M$62&gt;=ROW()-2)),Overview!$C$3:$C$62))</f>
        <v>24h</v>
      </c>
      <c r="R23" s="22" t="str">
        <f>IF(E23="","",IF(AND(I23&lt;&gt;"",LOOKUP(2,1/((Overview!$L$3:$L$62&lt;=ROW()-2)*(Overview!$M$3:$M$62&gt;=ROW()-2)),Overview!$Z$3:$Z$62)&lt;&gt;""),LEFT(E23,LEN(E23)-LEN(I23))&amp;LOOKUP(2,1/((Overview!$L$3:$L$62&lt;=ROW()-2)*(Overview!$M$3:$M$62&gt;=ROW()-2)),Overview!$Z$3:$Z$62)&amp;" "&amp;I23,E23)&amp;IF(AND(Q23="",LOOKUP(2,1/((Overview!$L$3:$L$62&lt;=ROW()-2)*(Overview!$M$3:$M$62&gt;=ROW()-2)),Overview!$W$3:$W$62)=""),"",", "&amp;IF(Q23&lt;&gt;"",Q23,"")&amp;IF(AND(Q23&lt;&gt;"",LOOKUP(2,1/((Overview!$L$3:$L$62&lt;=ROW()-2)*(Overview!$M$3:$M$62&gt;=ROW()-2)),Overview!$W$3:$W$62)&lt;&gt;"")," ","")&amp;LOOKUP(2,1/((Overview!$L$3:$L$62&lt;=ROW()-2)*(Overview!$M$3:$M$62&gt;=ROW()-2)),Overview!$W$3:$W$62)))</f>
        <v>YPDA + salt, 1, 24h growth</v>
      </c>
      <c r="S23" t="str">
        <f t="shared" si="1"/>
        <v>Duplicate resolved by Set</v>
      </c>
      <c r="U23" s="10" t="str">
        <f>IF(A23="","",O23&amp;IF(LOOKUP(2,1/((Overview!$L$3:$L$62&lt;=ROW()-2)*(Overview!$M$3:$M$62&gt;=ROW()-2)),Overview!$T$3:$T$62)&lt;&gt;"","_"&amp;LOOKUP(2,1/((Overview!$L$3:$L$62&lt;=ROW()-2)*(Overview!$M$3:$M$62&gt;=ROW()-2)),Overview!$T$3:$T$62),"")&amp;IF(Q23&lt;&gt;"","_"&amp;Q23,"")&amp;IF(E23&lt;&gt;"","_"&amp;E23,"")&amp;LOOKUP(2,1/((Overview!$L$3:$L$62&lt;=ROW()-2)*(Overview!$M$3:$M$62&gt;=ROW()-2)),Overview!$X$3:$X$62))</f>
        <v>14.08.26_24h_YPDA + salt, 1.jpg</v>
      </c>
      <c r="V23">
        <f t="shared" si="2"/>
        <v>2</v>
      </c>
      <c r="W23" t="str">
        <f>IF(U23="","",O23&amp;IF(LOOKUP(2,1/((Overview!$L$3:$L$62&lt;=ROW()-2)*(Overview!$M$3:$M$62&gt;=ROW()-2)),Overview!$T$3:$T$62)&lt;&gt;"","_"&amp;LOOKUP(2,1/((Overview!$L$3:$L$62&lt;=ROW()-2)*(Overview!$M$3:$M$62&gt;=ROW()-2)),Overview!$T$3:$T$62),"")&amp;"_"&amp;IF(LEFT(LOWER(TRIM(F23)),3)="set",TRIM(F23),"Set"&amp;TRIM(F23))&amp;IF(Q23&lt;&gt;"","_"&amp;Q23,"")&amp;IF(E23&lt;&gt;"","_"&amp;E23,"")&amp;LOOKUP(2,1/((Overview!$L$3:$L$62&lt;=ROW()-2)*(Overview!$M$3:$M$62&gt;=ROW()-2)),Overview!$X$3:$X$62))</f>
        <v>14.08.26_SetB_24h_YPDA + salt, 1.jpg</v>
      </c>
      <c r="X23">
        <f t="shared" si="3"/>
        <v>1</v>
      </c>
    </row>
    <row r="24" spans="1:24" ht="13.9" thickBot="1">
      <c r="A24" s="5">
        <f>IF(ROW()-2&gt;SUMIFS(Overview!$K$3:$K$62,Overview!$N$3:$N$62,"OK"),"",LOOKUP(2,1/((Overview!$L$3:$L$62&lt;=ROW()-2)*(Overview!$M$3:$M$62&gt;=ROW()-2)),Overview!$R$3:$R$62))</f>
        <v>1</v>
      </c>
      <c r="B24" s="5" t="str">
        <f>IF(A24="","",LOOKUP(2,1/((Overview!$L$3:$L$62&lt;=ROW()-2)*(Overview!$M$3:$M$62&gt;=ROW()-2)),Overview!$O$3:$O$62))</f>
        <v>14.08.26_24h</v>
      </c>
      <c r="C24" s="5" t="str">
        <f>IF(A24="","",LOOKUP(2,1/((Overview!$L$3:$L$62&lt;=ROW()-2)*(Overview!$M$3:$M$62&gt;=ROW()-2)),Overview!$Y$3:$Y$62))</f>
        <v>E1_14.08.26_24h</v>
      </c>
      <c r="D24" s="32">
        <f>IF(A24="","",ROW()-2-LOOKUP(2,1/((Overview!$L$3:$L$62&lt;=ROW()-2)*(Overview!$M$3:$M$62&gt;=ROW()-2)),Overview!$L$3:$L$62)+1)</f>
        <v>22</v>
      </c>
      <c r="E24" s="31" t="str">
        <f>IF(A24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24" s="32" t="str">
        <f>IF(A24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4" s="113" t="str">
        <f>IF(A24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4" s="31" t="str">
        <f>IF(A24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24" s="31">
        <f>IF(A24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24" s="32" t="str">
        <f>IF(A24="","","image"&amp;D24&amp;LOOKUP(2,1/((Overview!$L$3:$L$62&lt;=ROW()-2)*(Overview!$M$3:$M$62&gt;=ROW()-2)),Overview!$X$3:$X$62))</f>
        <v>image22.jpg</v>
      </c>
      <c r="K24" s="113" t="str">
        <f t="shared" si="0"/>
        <v>E1_14.08.26_24h_I022</v>
      </c>
      <c r="L24" s="103" t="str">
        <f>IF(U24="","",IF(V24=1,U24,IF(X24=1,W24,LEFT(W24,LEN(W24)-LEN(LOOKUP(2,1/((Overview!$L$3:$L$62&lt;=ROW()-2)*(Overview!$M$3:$M$62&gt;=ROW()-2)),Overview!$X$3:$X$62)))&amp;IF(COUNTIF($W$3:W24,W24)=1,"","__"&amp;COUNTIF($W$3:W24,W24))&amp;LOOKUP(2,1/((Overview!$L$3:$L$62&lt;=ROW()-2)*(Overview!$M$3:$M$62&gt;=ROW()-2)),Overview!$X$3:$X$62))))</f>
        <v>14.08.26_SetB_24h_YPDA + salt, 2.jpg</v>
      </c>
      <c r="M24" s="5" t="str">
        <f>IF(A24="","",LOOKUP(2,1/((Overview!$L$3:$L$62&lt;=ROW()-2)*(Overview!$M$3:$M$62&gt;=ROW()-2)),Overview!$U$3:$U$62))</f>
        <v>Arrangement 1</v>
      </c>
      <c r="N24" s="5" t="str">
        <f>IF(A24="","",LOOKUP(2,1/((Overview!$L$3:$L$62&lt;=ROW()-2)*(Overview!$M$3:$M$62&gt;=ROW()-2)),Overview!$V$3:$V$62))</f>
        <v>annotationSet 1</v>
      </c>
      <c r="O24" s="5" t="str">
        <f>IF(A24="","",LOOKUP(2,1/((Overview!$L$3:$L$62&lt;=ROW()-2)*(Overview!$M$3:$M$62&gt;=ROW()-2)),Overview!$B$3:$B$62))</f>
        <v>14.08.26</v>
      </c>
      <c r="P24" s="14">
        <f>IF(A24="","",LOOKUP(2,1/((Overview!$L$3:$L$62&lt;=ROW()-2)*(Overview!$M$3:$M$62&gt;=ROW()-2)),Overview!$S$3:$S$62))</f>
        <v>46248</v>
      </c>
      <c r="Q24" s="5" t="str">
        <f>IF(A24="","",LOOKUP(2,1/((Overview!$L$3:$L$62&lt;=ROW()-2)*(Overview!$M$3:$M$62&gt;=ROW()-2)),Overview!$C$3:$C$62))</f>
        <v>24h</v>
      </c>
      <c r="R24" s="22" t="str">
        <f>IF(E24="","",IF(AND(I24&lt;&gt;"",LOOKUP(2,1/((Overview!$L$3:$L$62&lt;=ROW()-2)*(Overview!$M$3:$M$62&gt;=ROW()-2)),Overview!$Z$3:$Z$62)&lt;&gt;""),LEFT(E24,LEN(E24)-LEN(I24))&amp;LOOKUP(2,1/((Overview!$L$3:$L$62&lt;=ROW()-2)*(Overview!$M$3:$M$62&gt;=ROW()-2)),Overview!$Z$3:$Z$62)&amp;" "&amp;I24,E24)&amp;IF(AND(Q24="",LOOKUP(2,1/((Overview!$L$3:$L$62&lt;=ROW()-2)*(Overview!$M$3:$M$62&gt;=ROW()-2)),Overview!$W$3:$W$62)=""),"",", "&amp;IF(Q24&lt;&gt;"",Q24,"")&amp;IF(AND(Q24&lt;&gt;"",LOOKUP(2,1/((Overview!$L$3:$L$62&lt;=ROW()-2)*(Overview!$M$3:$M$62&gt;=ROW()-2)),Overview!$W$3:$W$62)&lt;&gt;"")," ","")&amp;LOOKUP(2,1/((Overview!$L$3:$L$62&lt;=ROW()-2)*(Overview!$M$3:$M$62&gt;=ROW()-2)),Overview!$W$3:$W$62)))</f>
        <v>YPDA + salt, 2, 24h growth</v>
      </c>
      <c r="S24" t="str">
        <f t="shared" si="1"/>
        <v>Duplicate resolved by Set</v>
      </c>
      <c r="U24" s="10" t="str">
        <f>IF(A24="","",O24&amp;IF(LOOKUP(2,1/((Overview!$L$3:$L$62&lt;=ROW()-2)*(Overview!$M$3:$M$62&gt;=ROW()-2)),Overview!$T$3:$T$62)&lt;&gt;"","_"&amp;LOOKUP(2,1/((Overview!$L$3:$L$62&lt;=ROW()-2)*(Overview!$M$3:$M$62&gt;=ROW()-2)),Overview!$T$3:$T$62),"")&amp;IF(Q24&lt;&gt;"","_"&amp;Q24,"")&amp;IF(E24&lt;&gt;"","_"&amp;E24,"")&amp;LOOKUP(2,1/((Overview!$L$3:$L$62&lt;=ROW()-2)*(Overview!$M$3:$M$62&gt;=ROW()-2)),Overview!$X$3:$X$62))</f>
        <v>14.08.26_24h_YPDA + salt, 2.jpg</v>
      </c>
      <c r="V24">
        <f t="shared" si="2"/>
        <v>2</v>
      </c>
      <c r="W24" t="str">
        <f>IF(U24="","",O24&amp;IF(LOOKUP(2,1/((Overview!$L$3:$L$62&lt;=ROW()-2)*(Overview!$M$3:$M$62&gt;=ROW()-2)),Overview!$T$3:$T$62)&lt;&gt;"","_"&amp;LOOKUP(2,1/((Overview!$L$3:$L$62&lt;=ROW()-2)*(Overview!$M$3:$M$62&gt;=ROW()-2)),Overview!$T$3:$T$62),"")&amp;"_"&amp;IF(LEFT(LOWER(TRIM(F24)),3)="set",TRIM(F24),"Set"&amp;TRIM(F24))&amp;IF(Q24&lt;&gt;"","_"&amp;Q24,"")&amp;IF(E24&lt;&gt;"","_"&amp;E24,"")&amp;LOOKUP(2,1/((Overview!$L$3:$L$62&lt;=ROW()-2)*(Overview!$M$3:$M$62&gt;=ROW()-2)),Overview!$X$3:$X$62))</f>
        <v>14.08.26_SetB_24h_YPDA + salt, 2.jpg</v>
      </c>
      <c r="X24">
        <f t="shared" si="3"/>
        <v>1</v>
      </c>
    </row>
    <row r="25" spans="1:24" ht="13.9" thickBot="1">
      <c r="A25" s="5">
        <f>IF(ROW()-2&gt;SUMIFS(Overview!$K$3:$K$62,Overview!$N$3:$N$62,"OK"),"",LOOKUP(2,1/((Overview!$L$3:$L$62&lt;=ROW()-2)*(Overview!$M$3:$M$62&gt;=ROW()-2)),Overview!$R$3:$R$62))</f>
        <v>1</v>
      </c>
      <c r="B25" s="5" t="str">
        <f>IF(A25="","",LOOKUP(2,1/((Overview!$L$3:$L$62&lt;=ROW()-2)*(Overview!$M$3:$M$62&gt;=ROW()-2)),Overview!$O$3:$O$62))</f>
        <v>14.08.26_24h</v>
      </c>
      <c r="C25" s="5" t="str">
        <f>IF(A25="","",LOOKUP(2,1/((Overview!$L$3:$L$62&lt;=ROW()-2)*(Overview!$M$3:$M$62&gt;=ROW()-2)),Overview!$Y$3:$Y$62))</f>
        <v>E1_14.08.26_24h</v>
      </c>
      <c r="D25" s="32">
        <f>IF(A25="","",ROW()-2-LOOKUP(2,1/((Overview!$L$3:$L$62&lt;=ROW()-2)*(Overview!$M$3:$M$62&gt;=ROW()-2)),Overview!$L$3:$L$62)+1)</f>
        <v>23</v>
      </c>
      <c r="E25" s="31" t="str">
        <f>IF(A25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25" s="32" t="str">
        <f>IF(A25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5" s="113" t="str">
        <f>IF(A25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5" s="31" t="str">
        <f>IF(A25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25" s="31">
        <f>IF(A25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25" s="32" t="str">
        <f>IF(A25="","","image"&amp;D25&amp;LOOKUP(2,1/((Overview!$L$3:$L$62&lt;=ROW()-2)*(Overview!$M$3:$M$62&gt;=ROW()-2)),Overview!$X$3:$X$62))</f>
        <v>image23.jpg</v>
      </c>
      <c r="K25" s="113" t="str">
        <f t="shared" si="0"/>
        <v>E1_14.08.26_24h_I023</v>
      </c>
      <c r="L25" s="103" t="str">
        <f>IF(U25="","",IF(V25=1,U25,IF(X25=1,W25,LEFT(W25,LEN(W25)-LEN(LOOKUP(2,1/((Overview!$L$3:$L$62&lt;=ROW()-2)*(Overview!$M$3:$M$62&gt;=ROW()-2)),Overview!$X$3:$X$62)))&amp;IF(COUNTIF($W$3:W25,W25)=1,"","__"&amp;COUNTIF($W$3:W25,W25))&amp;LOOKUP(2,1/((Overview!$L$3:$L$62&lt;=ROW()-2)*(Overview!$M$3:$M$62&gt;=ROW()-2)),Overview!$X$3:$X$62))))</f>
        <v>14.08.26_SetB_24h_YPDA + salt, 3.jpg</v>
      </c>
      <c r="M25" s="5" t="str">
        <f>IF(A25="","",LOOKUP(2,1/((Overview!$L$3:$L$62&lt;=ROW()-2)*(Overview!$M$3:$M$62&gt;=ROW()-2)),Overview!$U$3:$U$62))</f>
        <v>Arrangement 1</v>
      </c>
      <c r="N25" s="5" t="str">
        <f>IF(A25="","",LOOKUP(2,1/((Overview!$L$3:$L$62&lt;=ROW()-2)*(Overview!$M$3:$M$62&gt;=ROW()-2)),Overview!$V$3:$V$62))</f>
        <v>annotationSet 1</v>
      </c>
      <c r="O25" s="5" t="str">
        <f>IF(A25="","",LOOKUP(2,1/((Overview!$L$3:$L$62&lt;=ROW()-2)*(Overview!$M$3:$M$62&gt;=ROW()-2)),Overview!$B$3:$B$62))</f>
        <v>14.08.26</v>
      </c>
      <c r="P25" s="14">
        <f>IF(A25="","",LOOKUP(2,1/((Overview!$L$3:$L$62&lt;=ROW()-2)*(Overview!$M$3:$M$62&gt;=ROW()-2)),Overview!$S$3:$S$62))</f>
        <v>46248</v>
      </c>
      <c r="Q25" s="5" t="str">
        <f>IF(A25="","",LOOKUP(2,1/((Overview!$L$3:$L$62&lt;=ROW()-2)*(Overview!$M$3:$M$62&gt;=ROW()-2)),Overview!$C$3:$C$62))</f>
        <v>24h</v>
      </c>
      <c r="R25" s="22" t="str">
        <f>IF(E25="","",IF(AND(I25&lt;&gt;"",LOOKUP(2,1/((Overview!$L$3:$L$62&lt;=ROW()-2)*(Overview!$M$3:$M$62&gt;=ROW()-2)),Overview!$Z$3:$Z$62)&lt;&gt;""),LEFT(E25,LEN(E25)-LEN(I25))&amp;LOOKUP(2,1/((Overview!$L$3:$L$62&lt;=ROW()-2)*(Overview!$M$3:$M$62&gt;=ROW()-2)),Overview!$Z$3:$Z$62)&amp;" "&amp;I25,E25)&amp;IF(AND(Q25="",LOOKUP(2,1/((Overview!$L$3:$L$62&lt;=ROW()-2)*(Overview!$M$3:$M$62&gt;=ROW()-2)),Overview!$W$3:$W$62)=""),"",", "&amp;IF(Q25&lt;&gt;"",Q25,"")&amp;IF(AND(Q25&lt;&gt;"",LOOKUP(2,1/((Overview!$L$3:$L$62&lt;=ROW()-2)*(Overview!$M$3:$M$62&gt;=ROW()-2)),Overview!$W$3:$W$62)&lt;&gt;"")," ","")&amp;LOOKUP(2,1/((Overview!$L$3:$L$62&lt;=ROW()-2)*(Overview!$M$3:$M$62&gt;=ROW()-2)),Overview!$W$3:$W$62)))</f>
        <v>YPDA + salt, 3, 24h growth</v>
      </c>
      <c r="S25" t="str">
        <f t="shared" si="1"/>
        <v>Duplicate resolved by Set</v>
      </c>
      <c r="U25" s="10" t="str">
        <f>IF(A25="","",O25&amp;IF(LOOKUP(2,1/((Overview!$L$3:$L$62&lt;=ROW()-2)*(Overview!$M$3:$M$62&gt;=ROW()-2)),Overview!$T$3:$T$62)&lt;&gt;"","_"&amp;LOOKUP(2,1/((Overview!$L$3:$L$62&lt;=ROW()-2)*(Overview!$M$3:$M$62&gt;=ROW()-2)),Overview!$T$3:$T$62),"")&amp;IF(Q25&lt;&gt;"","_"&amp;Q25,"")&amp;IF(E25&lt;&gt;"","_"&amp;E25,"")&amp;LOOKUP(2,1/((Overview!$L$3:$L$62&lt;=ROW()-2)*(Overview!$M$3:$M$62&gt;=ROW()-2)),Overview!$X$3:$X$62))</f>
        <v>14.08.26_24h_YPDA + salt, 3.jpg</v>
      </c>
      <c r="V25">
        <f t="shared" si="2"/>
        <v>2</v>
      </c>
      <c r="W25" t="str">
        <f>IF(U25="","",O25&amp;IF(LOOKUP(2,1/((Overview!$L$3:$L$62&lt;=ROW()-2)*(Overview!$M$3:$M$62&gt;=ROW()-2)),Overview!$T$3:$T$62)&lt;&gt;"","_"&amp;LOOKUP(2,1/((Overview!$L$3:$L$62&lt;=ROW()-2)*(Overview!$M$3:$M$62&gt;=ROW()-2)),Overview!$T$3:$T$62),"")&amp;"_"&amp;IF(LEFT(LOWER(TRIM(F25)),3)="set",TRIM(F25),"Set"&amp;TRIM(F25))&amp;IF(Q25&lt;&gt;"","_"&amp;Q25,"")&amp;IF(E25&lt;&gt;"","_"&amp;E25,"")&amp;LOOKUP(2,1/((Overview!$L$3:$L$62&lt;=ROW()-2)*(Overview!$M$3:$M$62&gt;=ROW()-2)),Overview!$X$3:$X$62))</f>
        <v>14.08.26_SetB_24h_YPDA + salt, 3.jpg</v>
      </c>
      <c r="X25">
        <f t="shared" si="3"/>
        <v>1</v>
      </c>
    </row>
    <row r="26" spans="1:24" ht="13.9" thickBot="1">
      <c r="A26" s="35">
        <f>IF(ROW()-2&gt;SUMIFS(Overview!$K$3:$K$62,Overview!$N$3:$N$62,"OK"),"",LOOKUP(2,1/((Overview!$L$3:$L$62&lt;=ROW()-2)*(Overview!$M$3:$M$62&gt;=ROW()-2)),Overview!$R$3:$R$62))</f>
        <v>1</v>
      </c>
      <c r="B26" s="35" t="str">
        <f>IF(A26="","",LOOKUP(2,1/((Overview!$L$3:$L$62&lt;=ROW()-2)*(Overview!$M$3:$M$62&gt;=ROW()-2)),Overview!$O$3:$O$62))</f>
        <v>14.08.26_24h</v>
      </c>
      <c r="C26" s="35" t="str">
        <f>IF(A26="","",LOOKUP(2,1/((Overview!$L$3:$L$62&lt;=ROW()-2)*(Overview!$M$3:$M$62&gt;=ROW()-2)),Overview!$Y$3:$Y$62))</f>
        <v>E1_14.08.26_24h</v>
      </c>
      <c r="D26" s="38">
        <f>IF(A26="","",ROW()-2-LOOKUP(2,1/((Overview!$L$3:$L$62&lt;=ROW()-2)*(Overview!$M$3:$M$62&gt;=ROW()-2)),Overview!$L$3:$L$62)+1)</f>
        <v>24</v>
      </c>
      <c r="E26" s="37" t="str">
        <f>IF(A26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26" s="38" t="str">
        <f>IF(A26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26" s="115" t="str">
        <f>IF(A26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6" s="37" t="str">
        <f>IF(A26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26" s="37">
        <f>IF(A26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26" s="38" t="str">
        <f>IF(A26="","","image"&amp;D26&amp;LOOKUP(2,1/((Overview!$L$3:$L$62&lt;=ROW()-2)*(Overview!$M$3:$M$62&gt;=ROW()-2)),Overview!$X$3:$X$62))</f>
        <v>image24.jpg</v>
      </c>
      <c r="K26" s="115" t="str">
        <f t="shared" si="0"/>
        <v>E1_14.08.26_24h_I024</v>
      </c>
      <c r="L26" s="104" t="str">
        <f>IF(U26="","",IF(V26=1,U26,IF(X26=1,W26,LEFT(W26,LEN(W26)-LEN(LOOKUP(2,1/((Overview!$L$3:$L$62&lt;=ROW()-2)*(Overview!$M$3:$M$62&gt;=ROW()-2)),Overview!$X$3:$X$62)))&amp;IF(COUNTIF($W$3:W26,W26)=1,"","__"&amp;COUNTIF($W$3:W26,W26))&amp;LOOKUP(2,1/((Overview!$L$3:$L$62&lt;=ROW()-2)*(Overview!$M$3:$M$62&gt;=ROW()-2)),Overview!$X$3:$X$62))))</f>
        <v>14.08.26_SetB_24h_YPDA + salt, 4.jpg</v>
      </c>
      <c r="M26" s="35" t="str">
        <f>IF(A26="","",LOOKUP(2,1/((Overview!$L$3:$L$62&lt;=ROW()-2)*(Overview!$M$3:$M$62&gt;=ROW()-2)),Overview!$U$3:$U$62))</f>
        <v>Arrangement 1</v>
      </c>
      <c r="N26" s="35" t="str">
        <f>IF(A26="","",LOOKUP(2,1/((Overview!$L$3:$L$62&lt;=ROW()-2)*(Overview!$M$3:$M$62&gt;=ROW()-2)),Overview!$V$3:$V$62))</f>
        <v>annotationSet 1</v>
      </c>
      <c r="O26" s="35" t="str">
        <f>IF(A26="","",LOOKUP(2,1/((Overview!$L$3:$L$62&lt;=ROW()-2)*(Overview!$M$3:$M$62&gt;=ROW()-2)),Overview!$B$3:$B$62))</f>
        <v>14.08.26</v>
      </c>
      <c r="P26" s="76">
        <f>IF(A26="","",LOOKUP(2,1/((Overview!$L$3:$L$62&lt;=ROW()-2)*(Overview!$M$3:$M$62&gt;=ROW()-2)),Overview!$S$3:$S$62))</f>
        <v>46248</v>
      </c>
      <c r="Q26" s="35" t="str">
        <f>IF(A26="","",LOOKUP(2,1/((Overview!$L$3:$L$62&lt;=ROW()-2)*(Overview!$M$3:$M$62&gt;=ROW()-2)),Overview!$C$3:$C$62))</f>
        <v>24h</v>
      </c>
      <c r="R26" s="78" t="str">
        <f>IF(E26="","",IF(AND(I26&lt;&gt;"",LOOKUP(2,1/((Overview!$L$3:$L$62&lt;=ROW()-2)*(Overview!$M$3:$M$62&gt;=ROW()-2)),Overview!$Z$3:$Z$62)&lt;&gt;""),LEFT(E26,LEN(E26)-LEN(I26))&amp;LOOKUP(2,1/((Overview!$L$3:$L$62&lt;=ROW()-2)*(Overview!$M$3:$M$62&gt;=ROW()-2)),Overview!$Z$3:$Z$62)&amp;" "&amp;I26,E26)&amp;IF(AND(Q26="",LOOKUP(2,1/((Overview!$L$3:$L$62&lt;=ROW()-2)*(Overview!$M$3:$M$62&gt;=ROW()-2)),Overview!$W$3:$W$62)=""),"",", "&amp;IF(Q26&lt;&gt;"",Q26,"")&amp;IF(AND(Q26&lt;&gt;"",LOOKUP(2,1/((Overview!$L$3:$L$62&lt;=ROW()-2)*(Overview!$M$3:$M$62&gt;=ROW()-2)),Overview!$W$3:$W$62)&lt;&gt;"")," ","")&amp;LOOKUP(2,1/((Overview!$L$3:$L$62&lt;=ROW()-2)*(Overview!$M$3:$M$62&gt;=ROW()-2)),Overview!$W$3:$W$62)))</f>
        <v>YPDA + salt, 4, 24h growth</v>
      </c>
      <c r="S26" t="str">
        <f t="shared" si="1"/>
        <v>Duplicate resolved by Set</v>
      </c>
      <c r="U26" s="10" t="str">
        <f>IF(A26="","",O26&amp;IF(LOOKUP(2,1/((Overview!$L$3:$L$62&lt;=ROW()-2)*(Overview!$M$3:$M$62&gt;=ROW()-2)),Overview!$T$3:$T$62)&lt;&gt;"","_"&amp;LOOKUP(2,1/((Overview!$L$3:$L$62&lt;=ROW()-2)*(Overview!$M$3:$M$62&gt;=ROW()-2)),Overview!$T$3:$T$62),"")&amp;IF(Q26&lt;&gt;"","_"&amp;Q26,"")&amp;IF(E26&lt;&gt;"","_"&amp;E26,"")&amp;LOOKUP(2,1/((Overview!$L$3:$L$62&lt;=ROW()-2)*(Overview!$M$3:$M$62&gt;=ROW()-2)),Overview!$X$3:$X$62))</f>
        <v>14.08.26_24h_YPDA + salt, 4.jpg</v>
      </c>
      <c r="V26">
        <f t="shared" si="2"/>
        <v>2</v>
      </c>
      <c r="W26" t="str">
        <f>IF(U26="","",O26&amp;IF(LOOKUP(2,1/((Overview!$L$3:$L$62&lt;=ROW()-2)*(Overview!$M$3:$M$62&gt;=ROW()-2)),Overview!$T$3:$T$62)&lt;&gt;"","_"&amp;LOOKUP(2,1/((Overview!$L$3:$L$62&lt;=ROW()-2)*(Overview!$M$3:$M$62&gt;=ROW()-2)),Overview!$T$3:$T$62),"")&amp;"_"&amp;IF(LEFT(LOWER(TRIM(F26)),3)="set",TRIM(F26),"Set"&amp;TRIM(F26))&amp;IF(Q26&lt;&gt;"","_"&amp;Q26,"")&amp;IF(E26&lt;&gt;"","_"&amp;E26,"")&amp;LOOKUP(2,1/((Overview!$L$3:$L$62&lt;=ROW()-2)*(Overview!$M$3:$M$62&gt;=ROW()-2)),Overview!$X$3:$X$62))</f>
        <v>14.08.26_SetB_24h_YPDA + salt, 4.jpg</v>
      </c>
      <c r="X26">
        <f t="shared" si="3"/>
        <v>1</v>
      </c>
    </row>
    <row r="27" spans="1:24" ht="13.9" thickBot="1">
      <c r="A27" s="22">
        <f>IF(ROW()-2&gt;SUMIFS(Overview!$K$3:$K$62,Overview!$N$3:$N$62,"OK"),"",LOOKUP(2,1/((Overview!$L$3:$L$62&lt;=ROW()-2)*(Overview!$M$3:$M$62&gt;=ROW()-2)),Overview!$R$3:$R$62))</f>
        <v>1</v>
      </c>
      <c r="B27" s="22" t="str">
        <f>IF(A27="","",LOOKUP(2,1/((Overview!$L$3:$L$62&lt;=ROW()-2)*(Overview!$M$3:$M$62&gt;=ROW()-2)),Overview!$O$3:$O$62))</f>
        <v>15.08.26_48h</v>
      </c>
      <c r="C27" s="22" t="str">
        <f>IF(A27="","",LOOKUP(2,1/((Overview!$L$3:$L$62&lt;=ROW()-2)*(Overview!$M$3:$M$62&gt;=ROW()-2)),Overview!$Y$3:$Y$62))</f>
        <v>E1_15.08.26_48h</v>
      </c>
      <c r="D27" s="27">
        <f>IF(A27="","",ROW()-2-LOOKUP(2,1/((Overview!$L$3:$L$62&lt;=ROW()-2)*(Overview!$M$3:$M$62&gt;=ROW()-2)),Overview!$L$3:$L$62)+1)</f>
        <v>1</v>
      </c>
      <c r="E27" s="26" t="str">
        <f>IF(A27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27" s="27" t="str">
        <f>IF(A27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27" s="111" t="str">
        <f>IF(A27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7" s="26" t="str">
        <f>IF(A27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27" s="26">
        <f>IF(A27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27" s="27" t="str">
        <f>IF(A27="","","image"&amp;D27&amp;LOOKUP(2,1/((Overview!$L$3:$L$62&lt;=ROW()-2)*(Overview!$M$3:$M$62&gt;=ROW()-2)),Overview!$X$3:$X$62))</f>
        <v>image1.jpg</v>
      </c>
      <c r="K27" s="111" t="str">
        <f t="shared" si="0"/>
        <v>E1_15.08.26_48h_I001</v>
      </c>
      <c r="L27" s="27" t="str">
        <f>IF(U27="","",IF(V27=1,U27,IF(X27=1,W27,LEFT(W27,LEN(W27)-LEN(LOOKUP(2,1/((Overview!$L$3:$L$62&lt;=ROW()-2)*(Overview!$M$3:$M$62&gt;=ROW()-2)),Overview!$X$3:$X$62)))&amp;IF(COUNTIF($W$3:W27,W27)=1,"","__"&amp;COUNTIF($W$3:W27,W27))&amp;LOOKUP(2,1/((Overview!$L$3:$L$62&lt;=ROW()-2)*(Overview!$M$3:$M$62&gt;=ROW()-2)),Overview!$X$3:$X$62))))</f>
        <v>15.08.26_SetA_48h_YPDA, 1.jpg</v>
      </c>
      <c r="M27" s="22" t="str">
        <f>IF(A27="","",LOOKUP(2,1/((Overview!$L$3:$L$62&lt;=ROW()-2)*(Overview!$M$3:$M$62&gt;=ROW()-2)),Overview!$U$3:$U$62))</f>
        <v>Arrangement 1</v>
      </c>
      <c r="N27" s="22" t="str">
        <f>IF(A27="","",LOOKUP(2,1/((Overview!$L$3:$L$62&lt;=ROW()-2)*(Overview!$M$3:$M$62&gt;=ROW()-2)),Overview!$V$3:$V$62))</f>
        <v>annotationSet 1</v>
      </c>
      <c r="O27" s="22" t="str">
        <f>IF(A27="","",LOOKUP(2,1/((Overview!$L$3:$L$62&lt;=ROW()-2)*(Overview!$M$3:$M$62&gt;=ROW()-2)),Overview!$B$3:$B$62))</f>
        <v>15.08.26</v>
      </c>
      <c r="P27" s="75">
        <f>IF(A27="","",LOOKUP(2,1/((Overview!$L$3:$L$62&lt;=ROW()-2)*(Overview!$M$3:$M$62&gt;=ROW()-2)),Overview!$S$3:$S$62))</f>
        <v>46249</v>
      </c>
      <c r="Q27" s="22" t="str">
        <f>IF(A27="","",LOOKUP(2,1/((Overview!$L$3:$L$62&lt;=ROW()-2)*(Overview!$M$3:$M$62&gt;=ROW()-2)),Overview!$C$3:$C$62))</f>
        <v>48h</v>
      </c>
      <c r="R27" s="22" t="str">
        <f>IF(E27="","",IF(AND(I27&lt;&gt;"",LOOKUP(2,1/((Overview!$L$3:$L$62&lt;=ROW()-2)*(Overview!$M$3:$M$62&gt;=ROW()-2)),Overview!$Z$3:$Z$62)&lt;&gt;""),LEFT(E27,LEN(E27)-LEN(I27))&amp;LOOKUP(2,1/((Overview!$L$3:$L$62&lt;=ROW()-2)*(Overview!$M$3:$M$62&gt;=ROW()-2)),Overview!$Z$3:$Z$62)&amp;" "&amp;I27,E27)&amp;IF(AND(Q27="",LOOKUP(2,1/((Overview!$L$3:$L$62&lt;=ROW()-2)*(Overview!$M$3:$M$62&gt;=ROW()-2)),Overview!$W$3:$W$62)=""),"",", "&amp;IF(Q27&lt;&gt;"",Q27,"")&amp;IF(AND(Q27&lt;&gt;"",LOOKUP(2,1/((Overview!$L$3:$L$62&lt;=ROW()-2)*(Overview!$M$3:$M$62&gt;=ROW()-2)),Overview!$W$3:$W$62)&lt;&gt;"")," ","")&amp;LOOKUP(2,1/((Overview!$L$3:$L$62&lt;=ROW()-2)*(Overview!$M$3:$M$62&gt;=ROW()-2)),Overview!$W$3:$W$62)))</f>
        <v>YPDA, 1, 48h growth</v>
      </c>
      <c r="S27" s="105" t="str">
        <f t="shared" si="1"/>
        <v>Duplicate resolved by Set</v>
      </c>
      <c r="U27" s="10" t="str">
        <f>IF(A27="","",O27&amp;IF(LOOKUP(2,1/((Overview!$L$3:$L$62&lt;=ROW()-2)*(Overview!$M$3:$M$62&gt;=ROW()-2)),Overview!$T$3:$T$62)&lt;&gt;"","_"&amp;LOOKUP(2,1/((Overview!$L$3:$L$62&lt;=ROW()-2)*(Overview!$M$3:$M$62&gt;=ROW()-2)),Overview!$T$3:$T$62),"")&amp;IF(Q27&lt;&gt;"","_"&amp;Q27,"")&amp;IF(E27&lt;&gt;"","_"&amp;E27,"")&amp;LOOKUP(2,1/((Overview!$L$3:$L$62&lt;=ROW()-2)*(Overview!$M$3:$M$62&gt;=ROW()-2)),Overview!$X$3:$X$62))</f>
        <v>15.08.26_48h_YPDA, 1.jpg</v>
      </c>
      <c r="V27">
        <f t="shared" si="2"/>
        <v>2</v>
      </c>
      <c r="W27" t="str">
        <f>IF(U27="","",O27&amp;IF(LOOKUP(2,1/((Overview!$L$3:$L$62&lt;=ROW()-2)*(Overview!$M$3:$M$62&gt;=ROW()-2)),Overview!$T$3:$T$62)&lt;&gt;"","_"&amp;LOOKUP(2,1/((Overview!$L$3:$L$62&lt;=ROW()-2)*(Overview!$M$3:$M$62&gt;=ROW()-2)),Overview!$T$3:$T$62),"")&amp;"_"&amp;IF(LEFT(LOWER(TRIM(F27)),3)="set",TRIM(F27),"Set"&amp;TRIM(F27))&amp;IF(Q27&lt;&gt;"","_"&amp;Q27,"")&amp;IF(E27&lt;&gt;"","_"&amp;E27,"")&amp;LOOKUP(2,1/((Overview!$L$3:$L$62&lt;=ROW()-2)*(Overview!$M$3:$M$62&gt;=ROW()-2)),Overview!$X$3:$X$62))</f>
        <v>15.08.26_SetA_48h_YPDA, 1.jpg</v>
      </c>
      <c r="X27">
        <f t="shared" si="3"/>
        <v>1</v>
      </c>
    </row>
    <row r="28" spans="1:24" ht="13.9" thickBot="1">
      <c r="A28" s="19">
        <f>IF(ROW()-2&gt;SUMIFS(Overview!$K$3:$K$62,Overview!$N$3:$N$62,"OK"),"",LOOKUP(2,1/((Overview!$L$3:$L$62&lt;=ROW()-2)*(Overview!$M$3:$M$62&gt;=ROW()-2)),Overview!$R$3:$R$62))</f>
        <v>1</v>
      </c>
      <c r="B28" s="19" t="str">
        <f>IF(A28="","",LOOKUP(2,1/((Overview!$L$3:$L$62&lt;=ROW()-2)*(Overview!$M$3:$M$62&gt;=ROW()-2)),Overview!$O$3:$O$62))</f>
        <v>15.08.26_48h</v>
      </c>
      <c r="C28" s="19" t="str">
        <f>IF(A28="","",LOOKUP(2,1/((Overview!$L$3:$L$62&lt;=ROW()-2)*(Overview!$M$3:$M$62&gt;=ROW()-2)),Overview!$Y$3:$Y$62))</f>
        <v>E1_15.08.26_48h</v>
      </c>
      <c r="D28" s="29">
        <f>IF(A28="","",ROW()-2-LOOKUP(2,1/((Overview!$L$3:$L$62&lt;=ROW()-2)*(Overview!$M$3:$M$62&gt;=ROW()-2)),Overview!$L$3:$L$62)+1)</f>
        <v>2</v>
      </c>
      <c r="E28" s="28" t="str">
        <f>IF(A28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28" s="29" t="str">
        <f>IF(A28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28" s="112" t="str">
        <f>IF(A28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8" s="28" t="str">
        <f>IF(A28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28" s="28">
        <f>IF(A28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28" s="29" t="str">
        <f>IF(A28="","","image"&amp;D28&amp;LOOKUP(2,1/((Overview!$L$3:$L$62&lt;=ROW()-2)*(Overview!$M$3:$M$62&gt;=ROW()-2)),Overview!$X$3:$X$62))</f>
        <v>image2.jpg</v>
      </c>
      <c r="K28" s="112" t="str">
        <f t="shared" si="0"/>
        <v>E1_15.08.26_48h_I002</v>
      </c>
      <c r="L28" s="27" t="str">
        <f>IF(U28="","",IF(V28=1,U28,IF(X28=1,W28,LEFT(W28,LEN(W28)-LEN(LOOKUP(2,1/((Overview!$L$3:$L$62&lt;=ROW()-2)*(Overview!$M$3:$M$62&gt;=ROW()-2)),Overview!$X$3:$X$62)))&amp;IF(COUNTIF($W$3:W28,W28)=1,"","__"&amp;COUNTIF($W$3:W28,W28))&amp;LOOKUP(2,1/((Overview!$L$3:$L$62&lt;=ROW()-2)*(Overview!$M$3:$M$62&gt;=ROW()-2)),Overview!$X$3:$X$62))))</f>
        <v>15.08.26_SetA_48h_YPDA, 2.jpg</v>
      </c>
      <c r="M28" s="19" t="str">
        <f>IF(A28="","",LOOKUP(2,1/((Overview!$L$3:$L$62&lt;=ROW()-2)*(Overview!$M$3:$M$62&gt;=ROW()-2)),Overview!$U$3:$U$62))</f>
        <v>Arrangement 1</v>
      </c>
      <c r="N28" s="19" t="str">
        <f>IF(A28="","",LOOKUP(2,1/((Overview!$L$3:$L$62&lt;=ROW()-2)*(Overview!$M$3:$M$62&gt;=ROW()-2)),Overview!$V$3:$V$62))</f>
        <v>annotationSet 1</v>
      </c>
      <c r="O28" s="19" t="str">
        <f>IF(A28="","",LOOKUP(2,1/((Overview!$L$3:$L$62&lt;=ROW()-2)*(Overview!$M$3:$M$62&gt;=ROW()-2)),Overview!$B$3:$B$62))</f>
        <v>15.08.26</v>
      </c>
      <c r="P28" s="74">
        <f>IF(A28="","",LOOKUP(2,1/((Overview!$L$3:$L$62&lt;=ROW()-2)*(Overview!$M$3:$M$62&gt;=ROW()-2)),Overview!$S$3:$S$62))</f>
        <v>46249</v>
      </c>
      <c r="Q28" s="19" t="str">
        <f>IF(A28="","",LOOKUP(2,1/((Overview!$L$3:$L$62&lt;=ROW()-2)*(Overview!$M$3:$M$62&gt;=ROW()-2)),Overview!$C$3:$C$62))</f>
        <v>48h</v>
      </c>
      <c r="R28" s="22" t="str">
        <f>IF(E28="","",IF(AND(I28&lt;&gt;"",LOOKUP(2,1/((Overview!$L$3:$L$62&lt;=ROW()-2)*(Overview!$M$3:$M$62&gt;=ROW()-2)),Overview!$Z$3:$Z$62)&lt;&gt;""),LEFT(E28,LEN(E28)-LEN(I28))&amp;LOOKUP(2,1/((Overview!$L$3:$L$62&lt;=ROW()-2)*(Overview!$M$3:$M$62&gt;=ROW()-2)),Overview!$Z$3:$Z$62)&amp;" "&amp;I28,E28)&amp;IF(AND(Q28="",LOOKUP(2,1/((Overview!$L$3:$L$62&lt;=ROW()-2)*(Overview!$M$3:$M$62&gt;=ROW()-2)),Overview!$W$3:$W$62)=""),"",", "&amp;IF(Q28&lt;&gt;"",Q28,"")&amp;IF(AND(Q28&lt;&gt;"",LOOKUP(2,1/((Overview!$L$3:$L$62&lt;=ROW()-2)*(Overview!$M$3:$M$62&gt;=ROW()-2)),Overview!$W$3:$W$62)&lt;&gt;"")," ","")&amp;LOOKUP(2,1/((Overview!$L$3:$L$62&lt;=ROW()-2)*(Overview!$M$3:$M$62&gt;=ROW()-2)),Overview!$W$3:$W$62)))</f>
        <v>YPDA, 2, 48h growth</v>
      </c>
      <c r="S28" t="str">
        <f t="shared" si="1"/>
        <v>Duplicate resolved by Set</v>
      </c>
      <c r="U28" s="10" t="str">
        <f>IF(A28="","",O28&amp;IF(LOOKUP(2,1/((Overview!$L$3:$L$62&lt;=ROW()-2)*(Overview!$M$3:$M$62&gt;=ROW()-2)),Overview!$T$3:$T$62)&lt;&gt;"","_"&amp;LOOKUP(2,1/((Overview!$L$3:$L$62&lt;=ROW()-2)*(Overview!$M$3:$M$62&gt;=ROW()-2)),Overview!$T$3:$T$62),"")&amp;IF(Q28&lt;&gt;"","_"&amp;Q28,"")&amp;IF(E28&lt;&gt;"","_"&amp;E28,"")&amp;LOOKUP(2,1/((Overview!$L$3:$L$62&lt;=ROW()-2)*(Overview!$M$3:$M$62&gt;=ROW()-2)),Overview!$X$3:$X$62))</f>
        <v>15.08.26_48h_YPDA, 2.jpg</v>
      </c>
      <c r="V28">
        <f t="shared" si="2"/>
        <v>2</v>
      </c>
      <c r="W28" t="str">
        <f>IF(U28="","",O28&amp;IF(LOOKUP(2,1/((Overview!$L$3:$L$62&lt;=ROW()-2)*(Overview!$M$3:$M$62&gt;=ROW()-2)),Overview!$T$3:$T$62)&lt;&gt;"","_"&amp;LOOKUP(2,1/((Overview!$L$3:$L$62&lt;=ROW()-2)*(Overview!$M$3:$M$62&gt;=ROW()-2)),Overview!$T$3:$T$62),"")&amp;"_"&amp;IF(LEFT(LOWER(TRIM(F28)),3)="set",TRIM(F28),"Set"&amp;TRIM(F28))&amp;IF(Q28&lt;&gt;"","_"&amp;Q28,"")&amp;IF(E28&lt;&gt;"","_"&amp;E28,"")&amp;LOOKUP(2,1/((Overview!$L$3:$L$62&lt;=ROW()-2)*(Overview!$M$3:$M$62&gt;=ROW()-2)),Overview!$X$3:$X$62))</f>
        <v>15.08.26_SetA_48h_YPDA, 2.jpg</v>
      </c>
      <c r="X28">
        <f t="shared" si="3"/>
        <v>1</v>
      </c>
    </row>
    <row r="29" spans="1:24" ht="13.9" thickBot="1">
      <c r="A29" s="5">
        <f>IF(ROW()-2&gt;SUMIFS(Overview!$K$3:$K$62,Overview!$N$3:$N$62,"OK"),"",LOOKUP(2,1/((Overview!$L$3:$L$62&lt;=ROW()-2)*(Overview!$M$3:$M$62&gt;=ROW()-2)),Overview!$R$3:$R$62))</f>
        <v>1</v>
      </c>
      <c r="B29" s="5" t="str">
        <f>IF(A29="","",LOOKUP(2,1/((Overview!$L$3:$L$62&lt;=ROW()-2)*(Overview!$M$3:$M$62&gt;=ROW()-2)),Overview!$O$3:$O$62))</f>
        <v>15.08.26_48h</v>
      </c>
      <c r="C29" s="5" t="str">
        <f>IF(A29="","",LOOKUP(2,1/((Overview!$L$3:$L$62&lt;=ROW()-2)*(Overview!$M$3:$M$62&gt;=ROW()-2)),Overview!$Y$3:$Y$62))</f>
        <v>E1_15.08.26_48h</v>
      </c>
      <c r="D29" s="25">
        <f>IF(A29="","",ROW()-2-LOOKUP(2,1/((Overview!$L$3:$L$62&lt;=ROW()-2)*(Overview!$M$3:$M$62&gt;=ROW()-2)),Overview!$L$3:$L$62)+1)</f>
        <v>3</v>
      </c>
      <c r="E29" s="24" t="str">
        <f>IF(A29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29" s="25" t="str">
        <f>IF(A29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29" s="113" t="str">
        <f>IF(A29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29" s="24" t="str">
        <f>IF(A29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29" s="24">
        <f>IF(A29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29" s="25" t="str">
        <f>IF(A29="","","image"&amp;D29&amp;LOOKUP(2,1/((Overview!$L$3:$L$62&lt;=ROW()-2)*(Overview!$M$3:$M$62&gt;=ROW()-2)),Overview!$X$3:$X$62))</f>
        <v>image3.jpg</v>
      </c>
      <c r="K29" s="113" t="str">
        <f t="shared" si="0"/>
        <v>E1_15.08.26_48h_I003</v>
      </c>
      <c r="L29" s="27" t="str">
        <f>IF(U29="","",IF(V29=1,U29,IF(X29=1,W29,LEFT(W29,LEN(W29)-LEN(LOOKUP(2,1/((Overview!$L$3:$L$62&lt;=ROW()-2)*(Overview!$M$3:$M$62&gt;=ROW()-2)),Overview!$X$3:$X$62)))&amp;IF(COUNTIF($W$3:W29,W29)=1,"","__"&amp;COUNTIF($W$3:W29,W29))&amp;LOOKUP(2,1/((Overview!$L$3:$L$62&lt;=ROW()-2)*(Overview!$M$3:$M$62&gt;=ROW()-2)),Overview!$X$3:$X$62))))</f>
        <v>15.08.26_SetA_48h_YPDA, 3.jpg</v>
      </c>
      <c r="M29" s="5" t="str">
        <f>IF(A29="","",LOOKUP(2,1/((Overview!$L$3:$L$62&lt;=ROW()-2)*(Overview!$M$3:$M$62&gt;=ROW()-2)),Overview!$U$3:$U$62))</f>
        <v>Arrangement 1</v>
      </c>
      <c r="N29" s="5" t="str">
        <f>IF(A29="","",LOOKUP(2,1/((Overview!$L$3:$L$62&lt;=ROW()-2)*(Overview!$M$3:$M$62&gt;=ROW()-2)),Overview!$V$3:$V$62))</f>
        <v>annotationSet 1</v>
      </c>
      <c r="O29" s="5" t="str">
        <f>IF(A29="","",LOOKUP(2,1/((Overview!$L$3:$L$62&lt;=ROW()-2)*(Overview!$M$3:$M$62&gt;=ROW()-2)),Overview!$B$3:$B$62))</f>
        <v>15.08.26</v>
      </c>
      <c r="P29" s="14">
        <f>IF(A29="","",LOOKUP(2,1/((Overview!$L$3:$L$62&lt;=ROW()-2)*(Overview!$M$3:$M$62&gt;=ROW()-2)),Overview!$S$3:$S$62))</f>
        <v>46249</v>
      </c>
      <c r="Q29" s="5" t="str">
        <f>IF(A29="","",LOOKUP(2,1/((Overview!$L$3:$L$62&lt;=ROW()-2)*(Overview!$M$3:$M$62&gt;=ROW()-2)),Overview!$C$3:$C$62))</f>
        <v>48h</v>
      </c>
      <c r="R29" s="22" t="str">
        <f>IF(E29="","",IF(AND(I29&lt;&gt;"",LOOKUP(2,1/((Overview!$L$3:$L$62&lt;=ROW()-2)*(Overview!$M$3:$M$62&gt;=ROW()-2)),Overview!$Z$3:$Z$62)&lt;&gt;""),LEFT(E29,LEN(E29)-LEN(I29))&amp;LOOKUP(2,1/((Overview!$L$3:$L$62&lt;=ROW()-2)*(Overview!$M$3:$M$62&gt;=ROW()-2)),Overview!$Z$3:$Z$62)&amp;" "&amp;I29,E29)&amp;IF(AND(Q29="",LOOKUP(2,1/((Overview!$L$3:$L$62&lt;=ROW()-2)*(Overview!$M$3:$M$62&gt;=ROW()-2)),Overview!$W$3:$W$62)=""),"",", "&amp;IF(Q29&lt;&gt;"",Q29,"")&amp;IF(AND(Q29&lt;&gt;"",LOOKUP(2,1/((Overview!$L$3:$L$62&lt;=ROW()-2)*(Overview!$M$3:$M$62&gt;=ROW()-2)),Overview!$W$3:$W$62)&lt;&gt;"")," ","")&amp;LOOKUP(2,1/((Overview!$L$3:$L$62&lt;=ROW()-2)*(Overview!$M$3:$M$62&gt;=ROW()-2)),Overview!$W$3:$W$62)))</f>
        <v>YPDA, 3, 48h growth</v>
      </c>
      <c r="S29" t="str">
        <f t="shared" si="1"/>
        <v>Duplicate resolved by Set</v>
      </c>
      <c r="U29" s="10" t="str">
        <f>IF(A29="","",O29&amp;IF(LOOKUP(2,1/((Overview!$L$3:$L$62&lt;=ROW()-2)*(Overview!$M$3:$M$62&gt;=ROW()-2)),Overview!$T$3:$T$62)&lt;&gt;"","_"&amp;LOOKUP(2,1/((Overview!$L$3:$L$62&lt;=ROW()-2)*(Overview!$M$3:$M$62&gt;=ROW()-2)),Overview!$T$3:$T$62),"")&amp;IF(Q29&lt;&gt;"","_"&amp;Q29,"")&amp;IF(E29&lt;&gt;"","_"&amp;E29,"")&amp;LOOKUP(2,1/((Overview!$L$3:$L$62&lt;=ROW()-2)*(Overview!$M$3:$M$62&gt;=ROW()-2)),Overview!$X$3:$X$62))</f>
        <v>15.08.26_48h_YPDA, 3.jpg</v>
      </c>
      <c r="V29">
        <f t="shared" si="2"/>
        <v>2</v>
      </c>
      <c r="W29" t="str">
        <f>IF(U29="","",O29&amp;IF(LOOKUP(2,1/((Overview!$L$3:$L$62&lt;=ROW()-2)*(Overview!$M$3:$M$62&gt;=ROW()-2)),Overview!$T$3:$T$62)&lt;&gt;"","_"&amp;LOOKUP(2,1/((Overview!$L$3:$L$62&lt;=ROW()-2)*(Overview!$M$3:$M$62&gt;=ROW()-2)),Overview!$T$3:$T$62),"")&amp;"_"&amp;IF(LEFT(LOWER(TRIM(F29)),3)="set",TRIM(F29),"Set"&amp;TRIM(F29))&amp;IF(Q29&lt;&gt;"","_"&amp;Q29,"")&amp;IF(E29&lt;&gt;"","_"&amp;E29,"")&amp;LOOKUP(2,1/((Overview!$L$3:$L$62&lt;=ROW()-2)*(Overview!$M$3:$M$62&gt;=ROW()-2)),Overview!$X$3:$X$62))</f>
        <v>15.08.26_SetA_48h_YPDA, 3.jpg</v>
      </c>
      <c r="X29">
        <f t="shared" si="3"/>
        <v>1</v>
      </c>
    </row>
    <row r="30" spans="1:24" ht="13.9" thickBot="1">
      <c r="A30" s="5">
        <f>IF(ROW()-2&gt;SUMIFS(Overview!$K$3:$K$62,Overview!$N$3:$N$62,"OK"),"",LOOKUP(2,1/((Overview!$L$3:$L$62&lt;=ROW()-2)*(Overview!$M$3:$M$62&gt;=ROW()-2)),Overview!$R$3:$R$62))</f>
        <v>1</v>
      </c>
      <c r="B30" s="5" t="str">
        <f>IF(A30="","",LOOKUP(2,1/((Overview!$L$3:$L$62&lt;=ROW()-2)*(Overview!$M$3:$M$62&gt;=ROW()-2)),Overview!$O$3:$O$62))</f>
        <v>15.08.26_48h</v>
      </c>
      <c r="C30" s="5" t="str">
        <f>IF(A30="","",LOOKUP(2,1/((Overview!$L$3:$L$62&lt;=ROW()-2)*(Overview!$M$3:$M$62&gt;=ROW()-2)),Overview!$Y$3:$Y$62))</f>
        <v>E1_15.08.26_48h</v>
      </c>
      <c r="D30" s="25">
        <f>IF(A30="","",ROW()-2-LOOKUP(2,1/((Overview!$L$3:$L$62&lt;=ROW()-2)*(Overview!$M$3:$M$62&gt;=ROW()-2)),Overview!$L$3:$L$62)+1)</f>
        <v>4</v>
      </c>
      <c r="E30" s="24" t="str">
        <f>IF(A30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30" s="25" t="str">
        <f>IF(A30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0" s="113" t="str">
        <f>IF(A30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0" s="24" t="str">
        <f>IF(A30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30" s="24">
        <f>IF(A30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30" s="25" t="str">
        <f>IF(A30="","","image"&amp;D30&amp;LOOKUP(2,1/((Overview!$L$3:$L$62&lt;=ROW()-2)*(Overview!$M$3:$M$62&gt;=ROW()-2)),Overview!$X$3:$X$62))</f>
        <v>image4.jpg</v>
      </c>
      <c r="K30" s="113" t="str">
        <f t="shared" si="0"/>
        <v>E1_15.08.26_48h_I004</v>
      </c>
      <c r="L30" s="27" t="str">
        <f>IF(U30="","",IF(V30=1,U30,IF(X30=1,W30,LEFT(W30,LEN(W30)-LEN(LOOKUP(2,1/((Overview!$L$3:$L$62&lt;=ROW()-2)*(Overview!$M$3:$M$62&gt;=ROW()-2)),Overview!$X$3:$X$62)))&amp;IF(COUNTIF($W$3:W30,W30)=1,"","__"&amp;COUNTIF($W$3:W30,W30))&amp;LOOKUP(2,1/((Overview!$L$3:$L$62&lt;=ROW()-2)*(Overview!$M$3:$M$62&gt;=ROW()-2)),Overview!$X$3:$X$62))))</f>
        <v>15.08.26_SetA_48h_YPDA, 4.jpg</v>
      </c>
      <c r="M30" s="5" t="str">
        <f>IF(A30="","",LOOKUP(2,1/((Overview!$L$3:$L$62&lt;=ROW()-2)*(Overview!$M$3:$M$62&gt;=ROW()-2)),Overview!$U$3:$U$62))</f>
        <v>Arrangement 1</v>
      </c>
      <c r="N30" s="5" t="str">
        <f>IF(A30="","",LOOKUP(2,1/((Overview!$L$3:$L$62&lt;=ROW()-2)*(Overview!$M$3:$M$62&gt;=ROW()-2)),Overview!$V$3:$V$62))</f>
        <v>annotationSet 1</v>
      </c>
      <c r="O30" s="5" t="str">
        <f>IF(A30="","",LOOKUP(2,1/((Overview!$L$3:$L$62&lt;=ROW()-2)*(Overview!$M$3:$M$62&gt;=ROW()-2)),Overview!$B$3:$B$62))</f>
        <v>15.08.26</v>
      </c>
      <c r="P30" s="14">
        <f>IF(A30="","",LOOKUP(2,1/((Overview!$L$3:$L$62&lt;=ROW()-2)*(Overview!$M$3:$M$62&gt;=ROW()-2)),Overview!$S$3:$S$62))</f>
        <v>46249</v>
      </c>
      <c r="Q30" s="5" t="str">
        <f>IF(A30="","",LOOKUP(2,1/((Overview!$L$3:$L$62&lt;=ROW()-2)*(Overview!$M$3:$M$62&gt;=ROW()-2)),Overview!$C$3:$C$62))</f>
        <v>48h</v>
      </c>
      <c r="R30" s="22" t="str">
        <f>IF(E30="","",IF(AND(I30&lt;&gt;"",LOOKUP(2,1/((Overview!$L$3:$L$62&lt;=ROW()-2)*(Overview!$M$3:$M$62&gt;=ROW()-2)),Overview!$Z$3:$Z$62)&lt;&gt;""),LEFT(E30,LEN(E30)-LEN(I30))&amp;LOOKUP(2,1/((Overview!$L$3:$L$62&lt;=ROW()-2)*(Overview!$M$3:$M$62&gt;=ROW()-2)),Overview!$Z$3:$Z$62)&amp;" "&amp;I30,E30)&amp;IF(AND(Q30="",LOOKUP(2,1/((Overview!$L$3:$L$62&lt;=ROW()-2)*(Overview!$M$3:$M$62&gt;=ROW()-2)),Overview!$W$3:$W$62)=""),"",", "&amp;IF(Q30&lt;&gt;"",Q30,"")&amp;IF(AND(Q30&lt;&gt;"",LOOKUP(2,1/((Overview!$L$3:$L$62&lt;=ROW()-2)*(Overview!$M$3:$M$62&gt;=ROW()-2)),Overview!$W$3:$W$62)&lt;&gt;"")," ","")&amp;LOOKUP(2,1/((Overview!$L$3:$L$62&lt;=ROW()-2)*(Overview!$M$3:$M$62&gt;=ROW()-2)),Overview!$W$3:$W$62)))</f>
        <v>YPDA, 4, 48h growth</v>
      </c>
      <c r="S30" t="str">
        <f t="shared" si="1"/>
        <v>Duplicate resolved by Set</v>
      </c>
      <c r="U30" s="10" t="str">
        <f>IF(A30="","",O30&amp;IF(LOOKUP(2,1/((Overview!$L$3:$L$62&lt;=ROW()-2)*(Overview!$M$3:$M$62&gt;=ROW()-2)),Overview!$T$3:$T$62)&lt;&gt;"","_"&amp;LOOKUP(2,1/((Overview!$L$3:$L$62&lt;=ROW()-2)*(Overview!$M$3:$M$62&gt;=ROW()-2)),Overview!$T$3:$T$62),"")&amp;IF(Q30&lt;&gt;"","_"&amp;Q30,"")&amp;IF(E30&lt;&gt;"","_"&amp;E30,"")&amp;LOOKUP(2,1/((Overview!$L$3:$L$62&lt;=ROW()-2)*(Overview!$M$3:$M$62&gt;=ROW()-2)),Overview!$X$3:$X$62))</f>
        <v>15.08.26_48h_YPDA, 4.jpg</v>
      </c>
      <c r="V30">
        <f t="shared" si="2"/>
        <v>2</v>
      </c>
      <c r="W30" t="str">
        <f>IF(U30="","",O30&amp;IF(LOOKUP(2,1/((Overview!$L$3:$L$62&lt;=ROW()-2)*(Overview!$M$3:$M$62&gt;=ROW()-2)),Overview!$T$3:$T$62)&lt;&gt;"","_"&amp;LOOKUP(2,1/((Overview!$L$3:$L$62&lt;=ROW()-2)*(Overview!$M$3:$M$62&gt;=ROW()-2)),Overview!$T$3:$T$62),"")&amp;"_"&amp;IF(LEFT(LOWER(TRIM(F30)),3)="set",TRIM(F30),"Set"&amp;TRIM(F30))&amp;IF(Q30&lt;&gt;"","_"&amp;Q30,"")&amp;IF(E30&lt;&gt;"","_"&amp;E30,"")&amp;LOOKUP(2,1/((Overview!$L$3:$L$62&lt;=ROW()-2)*(Overview!$M$3:$M$62&gt;=ROW()-2)),Overview!$X$3:$X$62))</f>
        <v>15.08.26_SetA_48h_YPDA, 4.jpg</v>
      </c>
      <c r="X30">
        <f t="shared" si="3"/>
        <v>1</v>
      </c>
    </row>
    <row r="31" spans="1:24" ht="13.9" thickBot="1">
      <c r="A31" s="5">
        <f>IF(ROW()-2&gt;SUMIFS(Overview!$K$3:$K$62,Overview!$N$3:$N$62,"OK"),"",LOOKUP(2,1/((Overview!$L$3:$L$62&lt;=ROW()-2)*(Overview!$M$3:$M$62&gt;=ROW()-2)),Overview!$R$3:$R$62))</f>
        <v>1</v>
      </c>
      <c r="B31" s="5" t="str">
        <f>IF(A31="","",LOOKUP(2,1/((Overview!$L$3:$L$62&lt;=ROW()-2)*(Overview!$M$3:$M$62&gt;=ROW()-2)),Overview!$O$3:$O$62))</f>
        <v>15.08.26_48h</v>
      </c>
      <c r="C31" s="5" t="str">
        <f>IF(A31="","",LOOKUP(2,1/((Overview!$L$3:$L$62&lt;=ROW()-2)*(Overview!$M$3:$M$62&gt;=ROW()-2)),Overview!$Y$3:$Y$62))</f>
        <v>E1_15.08.26_48h</v>
      </c>
      <c r="D31" s="25">
        <f>IF(A31="","",ROW()-2-LOOKUP(2,1/((Overview!$L$3:$L$62&lt;=ROW()-2)*(Overview!$M$3:$M$62&gt;=ROW()-2)),Overview!$L$3:$L$62)+1)</f>
        <v>5</v>
      </c>
      <c r="E31" s="30" t="str">
        <f>IF(A31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31" s="25" t="str">
        <f>IF(A31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1" s="113" t="str">
        <f>IF(A31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1" s="30" t="str">
        <f>IF(A31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31" s="30">
        <f>IF(A31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31" s="25" t="str">
        <f>IF(A31="","","image"&amp;D31&amp;LOOKUP(2,1/((Overview!$L$3:$L$62&lt;=ROW()-2)*(Overview!$M$3:$M$62&gt;=ROW()-2)),Overview!$X$3:$X$62))</f>
        <v>image5.jpg</v>
      </c>
      <c r="K31" s="113" t="str">
        <f t="shared" si="0"/>
        <v>E1_15.08.26_48h_I005</v>
      </c>
      <c r="L31" s="27" t="str">
        <f>IF(U31="","",IF(V31=1,U31,IF(X31=1,W31,LEFT(W31,LEN(W31)-LEN(LOOKUP(2,1/((Overview!$L$3:$L$62&lt;=ROW()-2)*(Overview!$M$3:$M$62&gt;=ROW()-2)),Overview!$X$3:$X$62)))&amp;IF(COUNTIF($W$3:W31,W31)=1,"","__"&amp;COUNTIF($W$3:W31,W31))&amp;LOOKUP(2,1/((Overview!$L$3:$L$62&lt;=ROW()-2)*(Overview!$M$3:$M$62&gt;=ROW()-2)),Overview!$X$3:$X$62))))</f>
        <v>15.08.26_SetA_48h_YPDA + heat, 1.jpg</v>
      </c>
      <c r="M31" s="5" t="str">
        <f>IF(A31="","",LOOKUP(2,1/((Overview!$L$3:$L$62&lt;=ROW()-2)*(Overview!$M$3:$M$62&gt;=ROW()-2)),Overview!$U$3:$U$62))</f>
        <v>Arrangement 1</v>
      </c>
      <c r="N31" s="5" t="str">
        <f>IF(A31="","",LOOKUP(2,1/((Overview!$L$3:$L$62&lt;=ROW()-2)*(Overview!$M$3:$M$62&gt;=ROW()-2)),Overview!$V$3:$V$62))</f>
        <v>annotationSet 1</v>
      </c>
      <c r="O31" s="5" t="str">
        <f>IF(A31="","",LOOKUP(2,1/((Overview!$L$3:$L$62&lt;=ROW()-2)*(Overview!$M$3:$M$62&gt;=ROW()-2)),Overview!$B$3:$B$62))</f>
        <v>15.08.26</v>
      </c>
      <c r="P31" s="14">
        <f>IF(A31="","",LOOKUP(2,1/((Overview!$L$3:$L$62&lt;=ROW()-2)*(Overview!$M$3:$M$62&gt;=ROW()-2)),Overview!$S$3:$S$62))</f>
        <v>46249</v>
      </c>
      <c r="Q31" s="5" t="str">
        <f>IF(A31="","",LOOKUP(2,1/((Overview!$L$3:$L$62&lt;=ROW()-2)*(Overview!$M$3:$M$62&gt;=ROW()-2)),Overview!$C$3:$C$62))</f>
        <v>48h</v>
      </c>
      <c r="R31" s="22" t="str">
        <f>IF(E31="","",IF(AND(I31&lt;&gt;"",LOOKUP(2,1/((Overview!$L$3:$L$62&lt;=ROW()-2)*(Overview!$M$3:$M$62&gt;=ROW()-2)),Overview!$Z$3:$Z$62)&lt;&gt;""),LEFT(E31,LEN(E31)-LEN(I31))&amp;LOOKUP(2,1/((Overview!$L$3:$L$62&lt;=ROW()-2)*(Overview!$M$3:$M$62&gt;=ROW()-2)),Overview!$Z$3:$Z$62)&amp;" "&amp;I31,E31)&amp;IF(AND(Q31="",LOOKUP(2,1/((Overview!$L$3:$L$62&lt;=ROW()-2)*(Overview!$M$3:$M$62&gt;=ROW()-2)),Overview!$W$3:$W$62)=""),"",", "&amp;IF(Q31&lt;&gt;"",Q31,"")&amp;IF(AND(Q31&lt;&gt;"",LOOKUP(2,1/((Overview!$L$3:$L$62&lt;=ROW()-2)*(Overview!$M$3:$M$62&gt;=ROW()-2)),Overview!$W$3:$W$62)&lt;&gt;"")," ","")&amp;LOOKUP(2,1/((Overview!$L$3:$L$62&lt;=ROW()-2)*(Overview!$M$3:$M$62&gt;=ROW()-2)),Overview!$W$3:$W$62)))</f>
        <v>YPDA + heat, 1, 48h growth</v>
      </c>
      <c r="S31" t="str">
        <f t="shared" si="1"/>
        <v>Duplicate resolved by Set</v>
      </c>
      <c r="U31" s="10" t="str">
        <f>IF(A31="","",O31&amp;IF(LOOKUP(2,1/((Overview!$L$3:$L$62&lt;=ROW()-2)*(Overview!$M$3:$M$62&gt;=ROW()-2)),Overview!$T$3:$T$62)&lt;&gt;"","_"&amp;LOOKUP(2,1/((Overview!$L$3:$L$62&lt;=ROW()-2)*(Overview!$M$3:$M$62&gt;=ROW()-2)),Overview!$T$3:$T$62),"")&amp;IF(Q31&lt;&gt;"","_"&amp;Q31,"")&amp;IF(E31&lt;&gt;"","_"&amp;E31,"")&amp;LOOKUP(2,1/((Overview!$L$3:$L$62&lt;=ROW()-2)*(Overview!$M$3:$M$62&gt;=ROW()-2)),Overview!$X$3:$X$62))</f>
        <v>15.08.26_48h_YPDA + heat, 1.jpg</v>
      </c>
      <c r="V31">
        <f t="shared" si="2"/>
        <v>2</v>
      </c>
      <c r="W31" t="str">
        <f>IF(U31="","",O31&amp;IF(LOOKUP(2,1/((Overview!$L$3:$L$62&lt;=ROW()-2)*(Overview!$M$3:$M$62&gt;=ROW()-2)),Overview!$T$3:$T$62)&lt;&gt;"","_"&amp;LOOKUP(2,1/((Overview!$L$3:$L$62&lt;=ROW()-2)*(Overview!$M$3:$M$62&gt;=ROW()-2)),Overview!$T$3:$T$62),"")&amp;"_"&amp;IF(LEFT(LOWER(TRIM(F31)),3)="set",TRIM(F31),"Set"&amp;TRIM(F31))&amp;IF(Q31&lt;&gt;"","_"&amp;Q31,"")&amp;IF(E31&lt;&gt;"","_"&amp;E31,"")&amp;LOOKUP(2,1/((Overview!$L$3:$L$62&lt;=ROW()-2)*(Overview!$M$3:$M$62&gt;=ROW()-2)),Overview!$X$3:$X$62))</f>
        <v>15.08.26_SetA_48h_YPDA + heat, 1.jpg</v>
      </c>
      <c r="X31">
        <f t="shared" si="3"/>
        <v>1</v>
      </c>
    </row>
    <row r="32" spans="1:24" ht="13.9" thickBot="1">
      <c r="A32" s="5">
        <f>IF(ROW()-2&gt;SUMIFS(Overview!$K$3:$K$62,Overview!$N$3:$N$62,"OK"),"",LOOKUP(2,1/((Overview!$L$3:$L$62&lt;=ROW()-2)*(Overview!$M$3:$M$62&gt;=ROW()-2)),Overview!$R$3:$R$62))</f>
        <v>1</v>
      </c>
      <c r="B32" s="5" t="str">
        <f>IF(A32="","",LOOKUP(2,1/((Overview!$L$3:$L$62&lt;=ROW()-2)*(Overview!$M$3:$M$62&gt;=ROW()-2)),Overview!$O$3:$O$62))</f>
        <v>15.08.26_48h</v>
      </c>
      <c r="C32" s="5" t="str">
        <f>IF(A32="","",LOOKUP(2,1/((Overview!$L$3:$L$62&lt;=ROW()-2)*(Overview!$M$3:$M$62&gt;=ROW()-2)),Overview!$Y$3:$Y$62))</f>
        <v>E1_15.08.26_48h</v>
      </c>
      <c r="D32" s="25">
        <f>IF(A32="","",ROW()-2-LOOKUP(2,1/((Overview!$L$3:$L$62&lt;=ROW()-2)*(Overview!$M$3:$M$62&gt;=ROW()-2)),Overview!$L$3:$L$62)+1)</f>
        <v>6</v>
      </c>
      <c r="E32" s="30" t="str">
        <f>IF(A32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32" s="25" t="str">
        <f>IF(A32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2" s="113" t="str">
        <f>IF(A32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2" s="30" t="str">
        <f>IF(A32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32" s="30">
        <f>IF(A32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32" s="25" t="str">
        <f>IF(A32="","","image"&amp;D32&amp;LOOKUP(2,1/((Overview!$L$3:$L$62&lt;=ROW()-2)*(Overview!$M$3:$M$62&gt;=ROW()-2)),Overview!$X$3:$X$62))</f>
        <v>image6.jpg</v>
      </c>
      <c r="K32" s="113" t="str">
        <f t="shared" si="0"/>
        <v>E1_15.08.26_48h_I006</v>
      </c>
      <c r="L32" s="27" t="str">
        <f>IF(U32="","",IF(V32=1,U32,IF(X32=1,W32,LEFT(W32,LEN(W32)-LEN(LOOKUP(2,1/((Overview!$L$3:$L$62&lt;=ROW()-2)*(Overview!$M$3:$M$62&gt;=ROW()-2)),Overview!$X$3:$X$62)))&amp;IF(COUNTIF($W$3:W32,W32)=1,"","__"&amp;COUNTIF($W$3:W32,W32))&amp;LOOKUP(2,1/((Overview!$L$3:$L$62&lt;=ROW()-2)*(Overview!$M$3:$M$62&gt;=ROW()-2)),Overview!$X$3:$X$62))))</f>
        <v>15.08.26_SetA_48h_YPDA + heat, 2.jpg</v>
      </c>
      <c r="M32" s="5" t="str">
        <f>IF(A32="","",LOOKUP(2,1/((Overview!$L$3:$L$62&lt;=ROW()-2)*(Overview!$M$3:$M$62&gt;=ROW()-2)),Overview!$U$3:$U$62))</f>
        <v>Arrangement 1</v>
      </c>
      <c r="N32" s="5" t="str">
        <f>IF(A32="","",LOOKUP(2,1/((Overview!$L$3:$L$62&lt;=ROW()-2)*(Overview!$M$3:$M$62&gt;=ROW()-2)),Overview!$V$3:$V$62))</f>
        <v>annotationSet 1</v>
      </c>
      <c r="O32" s="5" t="str">
        <f>IF(A32="","",LOOKUP(2,1/((Overview!$L$3:$L$62&lt;=ROW()-2)*(Overview!$M$3:$M$62&gt;=ROW()-2)),Overview!$B$3:$B$62))</f>
        <v>15.08.26</v>
      </c>
      <c r="P32" s="14">
        <f>IF(A32="","",LOOKUP(2,1/((Overview!$L$3:$L$62&lt;=ROW()-2)*(Overview!$M$3:$M$62&gt;=ROW()-2)),Overview!$S$3:$S$62))</f>
        <v>46249</v>
      </c>
      <c r="Q32" s="5" t="str">
        <f>IF(A32="","",LOOKUP(2,1/((Overview!$L$3:$L$62&lt;=ROW()-2)*(Overview!$M$3:$M$62&gt;=ROW()-2)),Overview!$C$3:$C$62))</f>
        <v>48h</v>
      </c>
      <c r="R32" s="22" t="str">
        <f>IF(E32="","",IF(AND(I32&lt;&gt;"",LOOKUP(2,1/((Overview!$L$3:$L$62&lt;=ROW()-2)*(Overview!$M$3:$M$62&gt;=ROW()-2)),Overview!$Z$3:$Z$62)&lt;&gt;""),LEFT(E32,LEN(E32)-LEN(I32))&amp;LOOKUP(2,1/((Overview!$L$3:$L$62&lt;=ROW()-2)*(Overview!$M$3:$M$62&gt;=ROW()-2)),Overview!$Z$3:$Z$62)&amp;" "&amp;I32,E32)&amp;IF(AND(Q32="",LOOKUP(2,1/((Overview!$L$3:$L$62&lt;=ROW()-2)*(Overview!$M$3:$M$62&gt;=ROW()-2)),Overview!$W$3:$W$62)=""),"",", "&amp;IF(Q32&lt;&gt;"",Q32,"")&amp;IF(AND(Q32&lt;&gt;"",LOOKUP(2,1/((Overview!$L$3:$L$62&lt;=ROW()-2)*(Overview!$M$3:$M$62&gt;=ROW()-2)),Overview!$W$3:$W$62)&lt;&gt;"")," ","")&amp;LOOKUP(2,1/((Overview!$L$3:$L$62&lt;=ROW()-2)*(Overview!$M$3:$M$62&gt;=ROW()-2)),Overview!$W$3:$W$62)))</f>
        <v>YPDA + heat, 2, 48h growth</v>
      </c>
      <c r="S32" t="str">
        <f t="shared" si="1"/>
        <v>Duplicate resolved by Set</v>
      </c>
      <c r="U32" s="10" t="str">
        <f>IF(A32="","",O32&amp;IF(LOOKUP(2,1/((Overview!$L$3:$L$62&lt;=ROW()-2)*(Overview!$M$3:$M$62&gt;=ROW()-2)),Overview!$T$3:$T$62)&lt;&gt;"","_"&amp;LOOKUP(2,1/((Overview!$L$3:$L$62&lt;=ROW()-2)*(Overview!$M$3:$M$62&gt;=ROW()-2)),Overview!$T$3:$T$62),"")&amp;IF(Q32&lt;&gt;"","_"&amp;Q32,"")&amp;IF(E32&lt;&gt;"","_"&amp;E32,"")&amp;LOOKUP(2,1/((Overview!$L$3:$L$62&lt;=ROW()-2)*(Overview!$M$3:$M$62&gt;=ROW()-2)),Overview!$X$3:$X$62))</f>
        <v>15.08.26_48h_YPDA + heat, 2.jpg</v>
      </c>
      <c r="V32">
        <f t="shared" si="2"/>
        <v>2</v>
      </c>
      <c r="W32" t="str">
        <f>IF(U32="","",O32&amp;IF(LOOKUP(2,1/((Overview!$L$3:$L$62&lt;=ROW()-2)*(Overview!$M$3:$M$62&gt;=ROW()-2)),Overview!$T$3:$T$62)&lt;&gt;"","_"&amp;LOOKUP(2,1/((Overview!$L$3:$L$62&lt;=ROW()-2)*(Overview!$M$3:$M$62&gt;=ROW()-2)),Overview!$T$3:$T$62),"")&amp;"_"&amp;IF(LEFT(LOWER(TRIM(F32)),3)="set",TRIM(F32),"Set"&amp;TRIM(F32))&amp;IF(Q32&lt;&gt;"","_"&amp;Q32,"")&amp;IF(E32&lt;&gt;"","_"&amp;E32,"")&amp;LOOKUP(2,1/((Overview!$L$3:$L$62&lt;=ROW()-2)*(Overview!$M$3:$M$62&gt;=ROW()-2)),Overview!$X$3:$X$62))</f>
        <v>15.08.26_SetA_48h_YPDA + heat, 2.jpg</v>
      </c>
      <c r="X32">
        <f t="shared" si="3"/>
        <v>1</v>
      </c>
    </row>
    <row r="33" spans="1:24" ht="13.9" thickBot="1">
      <c r="A33" s="5">
        <f>IF(ROW()-2&gt;SUMIFS(Overview!$K$3:$K$62,Overview!$N$3:$N$62,"OK"),"",LOOKUP(2,1/((Overview!$L$3:$L$62&lt;=ROW()-2)*(Overview!$M$3:$M$62&gt;=ROW()-2)),Overview!$R$3:$R$62))</f>
        <v>1</v>
      </c>
      <c r="B33" s="5" t="str">
        <f>IF(A33="","",LOOKUP(2,1/((Overview!$L$3:$L$62&lt;=ROW()-2)*(Overview!$M$3:$M$62&gt;=ROW()-2)),Overview!$O$3:$O$62))</f>
        <v>15.08.26_48h</v>
      </c>
      <c r="C33" s="5" t="str">
        <f>IF(A33="","",LOOKUP(2,1/((Overview!$L$3:$L$62&lt;=ROW()-2)*(Overview!$M$3:$M$62&gt;=ROW()-2)),Overview!$Y$3:$Y$62))</f>
        <v>E1_15.08.26_48h</v>
      </c>
      <c r="D33" s="25">
        <f>IF(A33="","",ROW()-2-LOOKUP(2,1/((Overview!$L$3:$L$62&lt;=ROW()-2)*(Overview!$M$3:$M$62&gt;=ROW()-2)),Overview!$L$3:$L$62)+1)</f>
        <v>7</v>
      </c>
      <c r="E33" s="30" t="str">
        <f>IF(A33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33" s="25" t="str">
        <f>IF(A33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3" s="113" t="str">
        <f>IF(A33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3" s="30" t="str">
        <f>IF(A33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33" s="30">
        <f>IF(A33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33" s="25" t="str">
        <f>IF(A33="","","image"&amp;D33&amp;LOOKUP(2,1/((Overview!$L$3:$L$62&lt;=ROW()-2)*(Overview!$M$3:$M$62&gt;=ROW()-2)),Overview!$X$3:$X$62))</f>
        <v>image7.jpg</v>
      </c>
      <c r="K33" s="113" t="str">
        <f t="shared" si="0"/>
        <v>E1_15.08.26_48h_I007</v>
      </c>
      <c r="L33" s="27" t="str">
        <f>IF(U33="","",IF(V33=1,U33,IF(X33=1,W33,LEFT(W33,LEN(W33)-LEN(LOOKUP(2,1/((Overview!$L$3:$L$62&lt;=ROW()-2)*(Overview!$M$3:$M$62&gt;=ROW()-2)),Overview!$X$3:$X$62)))&amp;IF(COUNTIF($W$3:W33,W33)=1,"","__"&amp;COUNTIF($W$3:W33,W33))&amp;LOOKUP(2,1/((Overview!$L$3:$L$62&lt;=ROW()-2)*(Overview!$M$3:$M$62&gt;=ROW()-2)),Overview!$X$3:$X$62))))</f>
        <v>15.08.26_SetA_48h_YPDA + heat, 3.jpg</v>
      </c>
      <c r="M33" s="5" t="str">
        <f>IF(A33="","",LOOKUP(2,1/((Overview!$L$3:$L$62&lt;=ROW()-2)*(Overview!$M$3:$M$62&gt;=ROW()-2)),Overview!$U$3:$U$62))</f>
        <v>Arrangement 1</v>
      </c>
      <c r="N33" s="5" t="str">
        <f>IF(A33="","",LOOKUP(2,1/((Overview!$L$3:$L$62&lt;=ROW()-2)*(Overview!$M$3:$M$62&gt;=ROW()-2)),Overview!$V$3:$V$62))</f>
        <v>annotationSet 1</v>
      </c>
      <c r="O33" s="5" t="str">
        <f>IF(A33="","",LOOKUP(2,1/((Overview!$L$3:$L$62&lt;=ROW()-2)*(Overview!$M$3:$M$62&gt;=ROW()-2)),Overview!$B$3:$B$62))</f>
        <v>15.08.26</v>
      </c>
      <c r="P33" s="14">
        <f>IF(A33="","",LOOKUP(2,1/((Overview!$L$3:$L$62&lt;=ROW()-2)*(Overview!$M$3:$M$62&gt;=ROW()-2)),Overview!$S$3:$S$62))</f>
        <v>46249</v>
      </c>
      <c r="Q33" s="5" t="str">
        <f>IF(A33="","",LOOKUP(2,1/((Overview!$L$3:$L$62&lt;=ROW()-2)*(Overview!$M$3:$M$62&gt;=ROW()-2)),Overview!$C$3:$C$62))</f>
        <v>48h</v>
      </c>
      <c r="R33" s="22" t="str">
        <f>IF(E33="","",IF(AND(I33&lt;&gt;"",LOOKUP(2,1/((Overview!$L$3:$L$62&lt;=ROW()-2)*(Overview!$M$3:$M$62&gt;=ROW()-2)),Overview!$Z$3:$Z$62)&lt;&gt;""),LEFT(E33,LEN(E33)-LEN(I33))&amp;LOOKUP(2,1/((Overview!$L$3:$L$62&lt;=ROW()-2)*(Overview!$M$3:$M$62&gt;=ROW()-2)),Overview!$Z$3:$Z$62)&amp;" "&amp;I33,E33)&amp;IF(AND(Q33="",LOOKUP(2,1/((Overview!$L$3:$L$62&lt;=ROW()-2)*(Overview!$M$3:$M$62&gt;=ROW()-2)),Overview!$W$3:$W$62)=""),"",", "&amp;IF(Q33&lt;&gt;"",Q33,"")&amp;IF(AND(Q33&lt;&gt;"",LOOKUP(2,1/((Overview!$L$3:$L$62&lt;=ROW()-2)*(Overview!$M$3:$M$62&gt;=ROW()-2)),Overview!$W$3:$W$62)&lt;&gt;"")," ","")&amp;LOOKUP(2,1/((Overview!$L$3:$L$62&lt;=ROW()-2)*(Overview!$M$3:$M$62&gt;=ROW()-2)),Overview!$W$3:$W$62)))</f>
        <v>YPDA + heat, 3, 48h growth</v>
      </c>
      <c r="S33" t="str">
        <f t="shared" si="1"/>
        <v>Duplicate resolved by Set</v>
      </c>
      <c r="U33" s="10" t="str">
        <f>IF(A33="","",O33&amp;IF(LOOKUP(2,1/((Overview!$L$3:$L$62&lt;=ROW()-2)*(Overview!$M$3:$M$62&gt;=ROW()-2)),Overview!$T$3:$T$62)&lt;&gt;"","_"&amp;LOOKUP(2,1/((Overview!$L$3:$L$62&lt;=ROW()-2)*(Overview!$M$3:$M$62&gt;=ROW()-2)),Overview!$T$3:$T$62),"")&amp;IF(Q33&lt;&gt;"","_"&amp;Q33,"")&amp;IF(E33&lt;&gt;"","_"&amp;E33,"")&amp;LOOKUP(2,1/((Overview!$L$3:$L$62&lt;=ROW()-2)*(Overview!$M$3:$M$62&gt;=ROW()-2)),Overview!$X$3:$X$62))</f>
        <v>15.08.26_48h_YPDA + heat, 3.jpg</v>
      </c>
      <c r="V33">
        <f t="shared" si="2"/>
        <v>2</v>
      </c>
      <c r="W33" t="str">
        <f>IF(U33="","",O33&amp;IF(LOOKUP(2,1/((Overview!$L$3:$L$62&lt;=ROW()-2)*(Overview!$M$3:$M$62&gt;=ROW()-2)),Overview!$T$3:$T$62)&lt;&gt;"","_"&amp;LOOKUP(2,1/((Overview!$L$3:$L$62&lt;=ROW()-2)*(Overview!$M$3:$M$62&gt;=ROW()-2)),Overview!$T$3:$T$62),"")&amp;"_"&amp;IF(LEFT(LOWER(TRIM(F33)),3)="set",TRIM(F33),"Set"&amp;TRIM(F33))&amp;IF(Q33&lt;&gt;"","_"&amp;Q33,"")&amp;IF(E33&lt;&gt;"","_"&amp;E33,"")&amp;LOOKUP(2,1/((Overview!$L$3:$L$62&lt;=ROW()-2)*(Overview!$M$3:$M$62&gt;=ROW()-2)),Overview!$X$3:$X$62))</f>
        <v>15.08.26_SetA_48h_YPDA + heat, 3.jpg</v>
      </c>
      <c r="X33">
        <f t="shared" si="3"/>
        <v>1</v>
      </c>
    </row>
    <row r="34" spans="1:24" ht="13.9" thickBot="1">
      <c r="A34" s="5">
        <f>IF(ROW()-2&gt;SUMIFS(Overview!$K$3:$K$62,Overview!$N$3:$N$62,"OK"),"",LOOKUP(2,1/((Overview!$L$3:$L$62&lt;=ROW()-2)*(Overview!$M$3:$M$62&gt;=ROW()-2)),Overview!$R$3:$R$62))</f>
        <v>1</v>
      </c>
      <c r="B34" s="5" t="str">
        <f>IF(A34="","",LOOKUP(2,1/((Overview!$L$3:$L$62&lt;=ROW()-2)*(Overview!$M$3:$M$62&gt;=ROW()-2)),Overview!$O$3:$O$62))</f>
        <v>15.08.26_48h</v>
      </c>
      <c r="C34" s="5" t="str">
        <f>IF(A34="","",LOOKUP(2,1/((Overview!$L$3:$L$62&lt;=ROW()-2)*(Overview!$M$3:$M$62&gt;=ROW()-2)),Overview!$Y$3:$Y$62))</f>
        <v>E1_15.08.26_48h</v>
      </c>
      <c r="D34" s="25">
        <f>IF(A34="","",ROW()-2-LOOKUP(2,1/((Overview!$L$3:$L$62&lt;=ROW()-2)*(Overview!$M$3:$M$62&gt;=ROW()-2)),Overview!$L$3:$L$62)+1)</f>
        <v>8</v>
      </c>
      <c r="E34" s="30" t="str">
        <f>IF(A34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34" s="25" t="str">
        <f>IF(A34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4" s="113" t="str">
        <f>IF(A34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4" s="30" t="str">
        <f>IF(A34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34" s="30">
        <f>IF(A34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34" s="25" t="str">
        <f>IF(A34="","","image"&amp;D34&amp;LOOKUP(2,1/((Overview!$L$3:$L$62&lt;=ROW()-2)*(Overview!$M$3:$M$62&gt;=ROW()-2)),Overview!$X$3:$X$62))</f>
        <v>image8.jpg</v>
      </c>
      <c r="K34" s="113" t="str">
        <f t="shared" si="0"/>
        <v>E1_15.08.26_48h_I008</v>
      </c>
      <c r="L34" s="27" t="str">
        <f>IF(U34="","",IF(V34=1,U34,IF(X34=1,W34,LEFT(W34,LEN(W34)-LEN(LOOKUP(2,1/((Overview!$L$3:$L$62&lt;=ROW()-2)*(Overview!$M$3:$M$62&gt;=ROW()-2)),Overview!$X$3:$X$62)))&amp;IF(COUNTIF($W$3:W34,W34)=1,"","__"&amp;COUNTIF($W$3:W34,W34))&amp;LOOKUP(2,1/((Overview!$L$3:$L$62&lt;=ROW()-2)*(Overview!$M$3:$M$62&gt;=ROW()-2)),Overview!$X$3:$X$62))))</f>
        <v>15.08.26_SetA_48h_YPDA + heat, 4.jpg</v>
      </c>
      <c r="M34" s="5" t="str">
        <f>IF(A34="","",LOOKUP(2,1/((Overview!$L$3:$L$62&lt;=ROW()-2)*(Overview!$M$3:$M$62&gt;=ROW()-2)),Overview!$U$3:$U$62))</f>
        <v>Arrangement 1</v>
      </c>
      <c r="N34" s="5" t="str">
        <f>IF(A34="","",LOOKUP(2,1/((Overview!$L$3:$L$62&lt;=ROW()-2)*(Overview!$M$3:$M$62&gt;=ROW()-2)),Overview!$V$3:$V$62))</f>
        <v>annotationSet 1</v>
      </c>
      <c r="O34" s="5" t="str">
        <f>IF(A34="","",LOOKUP(2,1/((Overview!$L$3:$L$62&lt;=ROW()-2)*(Overview!$M$3:$M$62&gt;=ROW()-2)),Overview!$B$3:$B$62))</f>
        <v>15.08.26</v>
      </c>
      <c r="P34" s="14">
        <f>IF(A34="","",LOOKUP(2,1/((Overview!$L$3:$L$62&lt;=ROW()-2)*(Overview!$M$3:$M$62&gt;=ROW()-2)),Overview!$S$3:$S$62))</f>
        <v>46249</v>
      </c>
      <c r="Q34" s="5" t="str">
        <f>IF(A34="","",LOOKUP(2,1/((Overview!$L$3:$L$62&lt;=ROW()-2)*(Overview!$M$3:$M$62&gt;=ROW()-2)),Overview!$C$3:$C$62))</f>
        <v>48h</v>
      </c>
      <c r="R34" s="22" t="str">
        <f>IF(E34="","",IF(AND(I34&lt;&gt;"",LOOKUP(2,1/((Overview!$L$3:$L$62&lt;=ROW()-2)*(Overview!$M$3:$M$62&gt;=ROW()-2)),Overview!$Z$3:$Z$62)&lt;&gt;""),LEFT(E34,LEN(E34)-LEN(I34))&amp;LOOKUP(2,1/((Overview!$L$3:$L$62&lt;=ROW()-2)*(Overview!$M$3:$M$62&gt;=ROW()-2)),Overview!$Z$3:$Z$62)&amp;" "&amp;I34,E34)&amp;IF(AND(Q34="",LOOKUP(2,1/((Overview!$L$3:$L$62&lt;=ROW()-2)*(Overview!$M$3:$M$62&gt;=ROW()-2)),Overview!$W$3:$W$62)=""),"",", "&amp;IF(Q34&lt;&gt;"",Q34,"")&amp;IF(AND(Q34&lt;&gt;"",LOOKUP(2,1/((Overview!$L$3:$L$62&lt;=ROW()-2)*(Overview!$M$3:$M$62&gt;=ROW()-2)),Overview!$W$3:$W$62)&lt;&gt;"")," ","")&amp;LOOKUP(2,1/((Overview!$L$3:$L$62&lt;=ROW()-2)*(Overview!$M$3:$M$62&gt;=ROW()-2)),Overview!$W$3:$W$62)))</f>
        <v>YPDA + heat, 4, 48h growth</v>
      </c>
      <c r="S34" t="str">
        <f t="shared" si="1"/>
        <v>Duplicate resolved by Set</v>
      </c>
      <c r="U34" s="10" t="str">
        <f>IF(A34="","",O34&amp;IF(LOOKUP(2,1/((Overview!$L$3:$L$62&lt;=ROW()-2)*(Overview!$M$3:$M$62&gt;=ROW()-2)),Overview!$T$3:$T$62)&lt;&gt;"","_"&amp;LOOKUP(2,1/((Overview!$L$3:$L$62&lt;=ROW()-2)*(Overview!$M$3:$M$62&gt;=ROW()-2)),Overview!$T$3:$T$62),"")&amp;IF(Q34&lt;&gt;"","_"&amp;Q34,"")&amp;IF(E34&lt;&gt;"","_"&amp;E34,"")&amp;LOOKUP(2,1/((Overview!$L$3:$L$62&lt;=ROW()-2)*(Overview!$M$3:$M$62&gt;=ROW()-2)),Overview!$X$3:$X$62))</f>
        <v>15.08.26_48h_YPDA + heat, 4.jpg</v>
      </c>
      <c r="V34">
        <f t="shared" si="2"/>
        <v>2</v>
      </c>
      <c r="W34" t="str">
        <f>IF(U34="","",O34&amp;IF(LOOKUP(2,1/((Overview!$L$3:$L$62&lt;=ROW()-2)*(Overview!$M$3:$M$62&gt;=ROW()-2)),Overview!$T$3:$T$62)&lt;&gt;"","_"&amp;LOOKUP(2,1/((Overview!$L$3:$L$62&lt;=ROW()-2)*(Overview!$M$3:$M$62&gt;=ROW()-2)),Overview!$T$3:$T$62),"")&amp;"_"&amp;IF(LEFT(LOWER(TRIM(F34)),3)="set",TRIM(F34),"Set"&amp;TRIM(F34))&amp;IF(Q34&lt;&gt;"","_"&amp;Q34,"")&amp;IF(E34&lt;&gt;"","_"&amp;E34,"")&amp;LOOKUP(2,1/((Overview!$L$3:$L$62&lt;=ROW()-2)*(Overview!$M$3:$M$62&gt;=ROW()-2)),Overview!$X$3:$X$62))</f>
        <v>15.08.26_SetA_48h_YPDA + heat, 4.jpg</v>
      </c>
      <c r="X34">
        <f t="shared" si="3"/>
        <v>1</v>
      </c>
    </row>
    <row r="35" spans="1:24" ht="13.9" thickBot="1">
      <c r="A35" s="5">
        <f>IF(ROW()-2&gt;SUMIFS(Overview!$K$3:$K$62,Overview!$N$3:$N$62,"OK"),"",LOOKUP(2,1/((Overview!$L$3:$L$62&lt;=ROW()-2)*(Overview!$M$3:$M$62&gt;=ROW()-2)),Overview!$R$3:$R$62))</f>
        <v>1</v>
      </c>
      <c r="B35" s="5" t="str">
        <f>IF(A35="","",LOOKUP(2,1/((Overview!$L$3:$L$62&lt;=ROW()-2)*(Overview!$M$3:$M$62&gt;=ROW()-2)),Overview!$O$3:$O$62))</f>
        <v>15.08.26_48h</v>
      </c>
      <c r="C35" s="5" t="str">
        <f>IF(A35="","",LOOKUP(2,1/((Overview!$L$3:$L$62&lt;=ROW()-2)*(Overview!$M$3:$M$62&gt;=ROW()-2)),Overview!$Y$3:$Y$62))</f>
        <v>E1_15.08.26_48h</v>
      </c>
      <c r="D35" s="25">
        <f>IF(A35="","",ROW()-2-LOOKUP(2,1/((Overview!$L$3:$L$62&lt;=ROW()-2)*(Overview!$M$3:$M$62&gt;=ROW()-2)),Overview!$L$3:$L$62)+1)</f>
        <v>9</v>
      </c>
      <c r="E35" s="31" t="str">
        <f>IF(A35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35" s="25" t="str">
        <f>IF(A35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5" s="113" t="str">
        <f>IF(A35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5" s="31" t="str">
        <f>IF(A35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35" s="31">
        <f>IF(A35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35" s="25" t="str">
        <f>IF(A35="","","image"&amp;D35&amp;LOOKUP(2,1/((Overview!$L$3:$L$62&lt;=ROW()-2)*(Overview!$M$3:$M$62&gt;=ROW()-2)),Overview!$X$3:$X$62))</f>
        <v>image9.jpg</v>
      </c>
      <c r="K35" s="113" t="str">
        <f t="shared" ref="K35:K66" si="4">IF(A35="","",C35&amp;"_I"&amp;TEXT(D35,"000"))</f>
        <v>E1_15.08.26_48h_I009</v>
      </c>
      <c r="L35" s="27" t="str">
        <f>IF(U35="","",IF(V35=1,U35,IF(X35=1,W35,LEFT(W35,LEN(W35)-LEN(LOOKUP(2,1/((Overview!$L$3:$L$62&lt;=ROW()-2)*(Overview!$M$3:$M$62&gt;=ROW()-2)),Overview!$X$3:$X$62)))&amp;IF(COUNTIF($W$3:W35,W35)=1,"","__"&amp;COUNTIF($W$3:W35,W35))&amp;LOOKUP(2,1/((Overview!$L$3:$L$62&lt;=ROW()-2)*(Overview!$M$3:$M$62&gt;=ROW()-2)),Overview!$X$3:$X$62))))</f>
        <v>15.08.26_SetA_48h_YPDA + salt, 1.jpg</v>
      </c>
      <c r="M35" s="5" t="str">
        <f>IF(A35="","",LOOKUP(2,1/((Overview!$L$3:$L$62&lt;=ROW()-2)*(Overview!$M$3:$M$62&gt;=ROW()-2)),Overview!$U$3:$U$62))</f>
        <v>Arrangement 1</v>
      </c>
      <c r="N35" s="5" t="str">
        <f>IF(A35="","",LOOKUP(2,1/((Overview!$L$3:$L$62&lt;=ROW()-2)*(Overview!$M$3:$M$62&gt;=ROW()-2)),Overview!$V$3:$V$62))</f>
        <v>annotationSet 1</v>
      </c>
      <c r="O35" s="5" t="str">
        <f>IF(A35="","",LOOKUP(2,1/((Overview!$L$3:$L$62&lt;=ROW()-2)*(Overview!$M$3:$M$62&gt;=ROW()-2)),Overview!$B$3:$B$62))</f>
        <v>15.08.26</v>
      </c>
      <c r="P35" s="14">
        <f>IF(A35="","",LOOKUP(2,1/((Overview!$L$3:$L$62&lt;=ROW()-2)*(Overview!$M$3:$M$62&gt;=ROW()-2)),Overview!$S$3:$S$62))</f>
        <v>46249</v>
      </c>
      <c r="Q35" s="5" t="str">
        <f>IF(A35="","",LOOKUP(2,1/((Overview!$L$3:$L$62&lt;=ROW()-2)*(Overview!$M$3:$M$62&gt;=ROW()-2)),Overview!$C$3:$C$62))</f>
        <v>48h</v>
      </c>
      <c r="R35" s="22" t="str">
        <f>IF(E35="","",IF(AND(I35&lt;&gt;"",LOOKUP(2,1/((Overview!$L$3:$L$62&lt;=ROW()-2)*(Overview!$M$3:$M$62&gt;=ROW()-2)),Overview!$Z$3:$Z$62)&lt;&gt;""),LEFT(E35,LEN(E35)-LEN(I35))&amp;LOOKUP(2,1/((Overview!$L$3:$L$62&lt;=ROW()-2)*(Overview!$M$3:$M$62&gt;=ROW()-2)),Overview!$Z$3:$Z$62)&amp;" "&amp;I35,E35)&amp;IF(AND(Q35="",LOOKUP(2,1/((Overview!$L$3:$L$62&lt;=ROW()-2)*(Overview!$M$3:$M$62&gt;=ROW()-2)),Overview!$W$3:$W$62)=""),"",", "&amp;IF(Q35&lt;&gt;"",Q35,"")&amp;IF(AND(Q35&lt;&gt;"",LOOKUP(2,1/((Overview!$L$3:$L$62&lt;=ROW()-2)*(Overview!$M$3:$M$62&gt;=ROW()-2)),Overview!$W$3:$W$62)&lt;&gt;"")," ","")&amp;LOOKUP(2,1/((Overview!$L$3:$L$62&lt;=ROW()-2)*(Overview!$M$3:$M$62&gt;=ROW()-2)),Overview!$W$3:$W$62)))</f>
        <v>YPDA + salt, 1, 48h growth</v>
      </c>
      <c r="S35" t="str">
        <f t="shared" si="1"/>
        <v>Duplicate resolved by Set</v>
      </c>
      <c r="U35" s="10" t="str">
        <f>IF(A35="","",O35&amp;IF(LOOKUP(2,1/((Overview!$L$3:$L$62&lt;=ROW()-2)*(Overview!$M$3:$M$62&gt;=ROW()-2)),Overview!$T$3:$T$62)&lt;&gt;"","_"&amp;LOOKUP(2,1/((Overview!$L$3:$L$62&lt;=ROW()-2)*(Overview!$M$3:$M$62&gt;=ROW()-2)),Overview!$T$3:$T$62),"")&amp;IF(Q35&lt;&gt;"","_"&amp;Q35,"")&amp;IF(E35&lt;&gt;"","_"&amp;E35,"")&amp;LOOKUP(2,1/((Overview!$L$3:$L$62&lt;=ROW()-2)*(Overview!$M$3:$M$62&gt;=ROW()-2)),Overview!$X$3:$X$62))</f>
        <v>15.08.26_48h_YPDA + salt, 1.jpg</v>
      </c>
      <c r="V35">
        <f t="shared" si="2"/>
        <v>2</v>
      </c>
      <c r="W35" t="str">
        <f>IF(U35="","",O35&amp;IF(LOOKUP(2,1/((Overview!$L$3:$L$62&lt;=ROW()-2)*(Overview!$M$3:$M$62&gt;=ROW()-2)),Overview!$T$3:$T$62)&lt;&gt;"","_"&amp;LOOKUP(2,1/((Overview!$L$3:$L$62&lt;=ROW()-2)*(Overview!$M$3:$M$62&gt;=ROW()-2)),Overview!$T$3:$T$62),"")&amp;"_"&amp;IF(LEFT(LOWER(TRIM(F35)),3)="set",TRIM(F35),"Set"&amp;TRIM(F35))&amp;IF(Q35&lt;&gt;"","_"&amp;Q35,"")&amp;IF(E35&lt;&gt;"","_"&amp;E35,"")&amp;LOOKUP(2,1/((Overview!$L$3:$L$62&lt;=ROW()-2)*(Overview!$M$3:$M$62&gt;=ROW()-2)),Overview!$X$3:$X$62))</f>
        <v>15.08.26_SetA_48h_YPDA + salt, 1.jpg</v>
      </c>
      <c r="X35">
        <f t="shared" si="3"/>
        <v>1</v>
      </c>
    </row>
    <row r="36" spans="1:24" ht="13.9" thickBot="1">
      <c r="A36" s="5">
        <f>IF(ROW()-2&gt;SUMIFS(Overview!$K$3:$K$62,Overview!$N$3:$N$62,"OK"),"",LOOKUP(2,1/((Overview!$L$3:$L$62&lt;=ROW()-2)*(Overview!$M$3:$M$62&gt;=ROW()-2)),Overview!$R$3:$R$62))</f>
        <v>1</v>
      </c>
      <c r="B36" s="5" t="str">
        <f>IF(A36="","",LOOKUP(2,1/((Overview!$L$3:$L$62&lt;=ROW()-2)*(Overview!$M$3:$M$62&gt;=ROW()-2)),Overview!$O$3:$O$62))</f>
        <v>15.08.26_48h</v>
      </c>
      <c r="C36" s="5" t="str">
        <f>IF(A36="","",LOOKUP(2,1/((Overview!$L$3:$L$62&lt;=ROW()-2)*(Overview!$M$3:$M$62&gt;=ROW()-2)),Overview!$Y$3:$Y$62))</f>
        <v>E1_15.08.26_48h</v>
      </c>
      <c r="D36" s="25">
        <f>IF(A36="","",ROW()-2-LOOKUP(2,1/((Overview!$L$3:$L$62&lt;=ROW()-2)*(Overview!$M$3:$M$62&gt;=ROW()-2)),Overview!$L$3:$L$62)+1)</f>
        <v>10</v>
      </c>
      <c r="E36" s="31" t="str">
        <f>IF(A36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36" s="25" t="str">
        <f>IF(A36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6" s="113" t="str">
        <f>IF(A36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6" s="31" t="str">
        <f>IF(A36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36" s="31">
        <f>IF(A36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36" s="25" t="str">
        <f>IF(A36="","","image"&amp;D36&amp;LOOKUP(2,1/((Overview!$L$3:$L$62&lt;=ROW()-2)*(Overview!$M$3:$M$62&gt;=ROW()-2)),Overview!$X$3:$X$62))</f>
        <v>image10.jpg</v>
      </c>
      <c r="K36" s="113" t="str">
        <f t="shared" si="4"/>
        <v>E1_15.08.26_48h_I010</v>
      </c>
      <c r="L36" s="27" t="str">
        <f>IF(U36="","",IF(V36=1,U36,IF(X36=1,W36,LEFT(W36,LEN(W36)-LEN(LOOKUP(2,1/((Overview!$L$3:$L$62&lt;=ROW()-2)*(Overview!$M$3:$M$62&gt;=ROW()-2)),Overview!$X$3:$X$62)))&amp;IF(COUNTIF($W$3:W36,W36)=1,"","__"&amp;COUNTIF($W$3:W36,W36))&amp;LOOKUP(2,1/((Overview!$L$3:$L$62&lt;=ROW()-2)*(Overview!$M$3:$M$62&gt;=ROW()-2)),Overview!$X$3:$X$62))))</f>
        <v>15.08.26_SetA_48h_YPDA + salt, 2.jpg</v>
      </c>
      <c r="M36" s="5" t="str">
        <f>IF(A36="","",LOOKUP(2,1/((Overview!$L$3:$L$62&lt;=ROW()-2)*(Overview!$M$3:$M$62&gt;=ROW()-2)),Overview!$U$3:$U$62))</f>
        <v>Arrangement 1</v>
      </c>
      <c r="N36" s="5" t="str">
        <f>IF(A36="","",LOOKUP(2,1/((Overview!$L$3:$L$62&lt;=ROW()-2)*(Overview!$M$3:$M$62&gt;=ROW()-2)),Overview!$V$3:$V$62))</f>
        <v>annotationSet 1</v>
      </c>
      <c r="O36" s="5" t="str">
        <f>IF(A36="","",LOOKUP(2,1/((Overview!$L$3:$L$62&lt;=ROW()-2)*(Overview!$M$3:$M$62&gt;=ROW()-2)),Overview!$B$3:$B$62))</f>
        <v>15.08.26</v>
      </c>
      <c r="P36" s="14">
        <f>IF(A36="","",LOOKUP(2,1/((Overview!$L$3:$L$62&lt;=ROW()-2)*(Overview!$M$3:$M$62&gt;=ROW()-2)),Overview!$S$3:$S$62))</f>
        <v>46249</v>
      </c>
      <c r="Q36" s="5" t="str">
        <f>IF(A36="","",LOOKUP(2,1/((Overview!$L$3:$L$62&lt;=ROW()-2)*(Overview!$M$3:$M$62&gt;=ROW()-2)),Overview!$C$3:$C$62))</f>
        <v>48h</v>
      </c>
      <c r="R36" s="22" t="str">
        <f>IF(E36="","",IF(AND(I36&lt;&gt;"",LOOKUP(2,1/((Overview!$L$3:$L$62&lt;=ROW()-2)*(Overview!$M$3:$M$62&gt;=ROW()-2)),Overview!$Z$3:$Z$62)&lt;&gt;""),LEFT(E36,LEN(E36)-LEN(I36))&amp;LOOKUP(2,1/((Overview!$L$3:$L$62&lt;=ROW()-2)*(Overview!$M$3:$M$62&gt;=ROW()-2)),Overview!$Z$3:$Z$62)&amp;" "&amp;I36,E36)&amp;IF(AND(Q36="",LOOKUP(2,1/((Overview!$L$3:$L$62&lt;=ROW()-2)*(Overview!$M$3:$M$62&gt;=ROW()-2)),Overview!$W$3:$W$62)=""),"",", "&amp;IF(Q36&lt;&gt;"",Q36,"")&amp;IF(AND(Q36&lt;&gt;"",LOOKUP(2,1/((Overview!$L$3:$L$62&lt;=ROW()-2)*(Overview!$M$3:$M$62&gt;=ROW()-2)),Overview!$W$3:$W$62)&lt;&gt;"")," ","")&amp;LOOKUP(2,1/((Overview!$L$3:$L$62&lt;=ROW()-2)*(Overview!$M$3:$M$62&gt;=ROW()-2)),Overview!$W$3:$W$62)))</f>
        <v>YPDA + salt, 2, 48h growth</v>
      </c>
      <c r="S36" t="str">
        <f t="shared" si="1"/>
        <v>Duplicate resolved by Set</v>
      </c>
      <c r="U36" s="10" t="str">
        <f>IF(A36="","",O36&amp;IF(LOOKUP(2,1/((Overview!$L$3:$L$62&lt;=ROW()-2)*(Overview!$M$3:$M$62&gt;=ROW()-2)),Overview!$T$3:$T$62)&lt;&gt;"","_"&amp;LOOKUP(2,1/((Overview!$L$3:$L$62&lt;=ROW()-2)*(Overview!$M$3:$M$62&gt;=ROW()-2)),Overview!$T$3:$T$62),"")&amp;IF(Q36&lt;&gt;"","_"&amp;Q36,"")&amp;IF(E36&lt;&gt;"","_"&amp;E36,"")&amp;LOOKUP(2,1/((Overview!$L$3:$L$62&lt;=ROW()-2)*(Overview!$M$3:$M$62&gt;=ROW()-2)),Overview!$X$3:$X$62))</f>
        <v>15.08.26_48h_YPDA + salt, 2.jpg</v>
      </c>
      <c r="V36">
        <f t="shared" si="2"/>
        <v>2</v>
      </c>
      <c r="W36" t="str">
        <f>IF(U36="","",O36&amp;IF(LOOKUP(2,1/((Overview!$L$3:$L$62&lt;=ROW()-2)*(Overview!$M$3:$M$62&gt;=ROW()-2)),Overview!$T$3:$T$62)&lt;&gt;"","_"&amp;LOOKUP(2,1/((Overview!$L$3:$L$62&lt;=ROW()-2)*(Overview!$M$3:$M$62&gt;=ROW()-2)),Overview!$T$3:$T$62),"")&amp;"_"&amp;IF(LEFT(LOWER(TRIM(F36)),3)="set",TRIM(F36),"Set"&amp;TRIM(F36))&amp;IF(Q36&lt;&gt;"","_"&amp;Q36,"")&amp;IF(E36&lt;&gt;"","_"&amp;E36,"")&amp;LOOKUP(2,1/((Overview!$L$3:$L$62&lt;=ROW()-2)*(Overview!$M$3:$M$62&gt;=ROW()-2)),Overview!$X$3:$X$62))</f>
        <v>15.08.26_SetA_48h_YPDA + salt, 2.jpg</v>
      </c>
      <c r="X36">
        <f t="shared" si="3"/>
        <v>1</v>
      </c>
    </row>
    <row r="37" spans="1:24" ht="13.9" thickBot="1">
      <c r="A37" s="5">
        <f>IF(ROW()-2&gt;SUMIFS(Overview!$K$3:$K$62,Overview!$N$3:$N$62,"OK"),"",LOOKUP(2,1/((Overview!$L$3:$L$62&lt;=ROW()-2)*(Overview!$M$3:$M$62&gt;=ROW()-2)),Overview!$R$3:$R$62))</f>
        <v>1</v>
      </c>
      <c r="B37" s="5" t="str">
        <f>IF(A37="","",LOOKUP(2,1/((Overview!$L$3:$L$62&lt;=ROW()-2)*(Overview!$M$3:$M$62&gt;=ROW()-2)),Overview!$O$3:$O$62))</f>
        <v>15.08.26_48h</v>
      </c>
      <c r="C37" s="5" t="str">
        <f>IF(A37="","",LOOKUP(2,1/((Overview!$L$3:$L$62&lt;=ROW()-2)*(Overview!$M$3:$M$62&gt;=ROW()-2)),Overview!$Y$3:$Y$62))</f>
        <v>E1_15.08.26_48h</v>
      </c>
      <c r="D37" s="25">
        <f>IF(A37="","",ROW()-2-LOOKUP(2,1/((Overview!$L$3:$L$62&lt;=ROW()-2)*(Overview!$M$3:$M$62&gt;=ROW()-2)),Overview!$L$3:$L$62)+1)</f>
        <v>11</v>
      </c>
      <c r="E37" s="31" t="str">
        <f>IF(A37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37" s="25" t="str">
        <f>IF(A37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7" s="113" t="str">
        <f>IF(A37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7" s="31" t="str">
        <f>IF(A37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37" s="31">
        <f>IF(A37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37" s="25" t="str">
        <f>IF(A37="","","image"&amp;D37&amp;LOOKUP(2,1/((Overview!$L$3:$L$62&lt;=ROW()-2)*(Overview!$M$3:$M$62&gt;=ROW()-2)),Overview!$X$3:$X$62))</f>
        <v>image11.jpg</v>
      </c>
      <c r="K37" s="113" t="str">
        <f t="shared" si="4"/>
        <v>E1_15.08.26_48h_I011</v>
      </c>
      <c r="L37" s="27" t="str">
        <f>IF(U37="","",IF(V37=1,U37,IF(X37=1,W37,LEFT(W37,LEN(W37)-LEN(LOOKUP(2,1/((Overview!$L$3:$L$62&lt;=ROW()-2)*(Overview!$M$3:$M$62&gt;=ROW()-2)),Overview!$X$3:$X$62)))&amp;IF(COUNTIF($W$3:W37,W37)=1,"","__"&amp;COUNTIF($W$3:W37,W37))&amp;LOOKUP(2,1/((Overview!$L$3:$L$62&lt;=ROW()-2)*(Overview!$M$3:$M$62&gt;=ROW()-2)),Overview!$X$3:$X$62))))</f>
        <v>15.08.26_SetA_48h_YPDA + salt, 3.jpg</v>
      </c>
      <c r="M37" s="5" t="str">
        <f>IF(A37="","",LOOKUP(2,1/((Overview!$L$3:$L$62&lt;=ROW()-2)*(Overview!$M$3:$M$62&gt;=ROW()-2)),Overview!$U$3:$U$62))</f>
        <v>Arrangement 1</v>
      </c>
      <c r="N37" s="5" t="str">
        <f>IF(A37="","",LOOKUP(2,1/((Overview!$L$3:$L$62&lt;=ROW()-2)*(Overview!$M$3:$M$62&gt;=ROW()-2)),Overview!$V$3:$V$62))</f>
        <v>annotationSet 1</v>
      </c>
      <c r="O37" s="5" t="str">
        <f>IF(A37="","",LOOKUP(2,1/((Overview!$L$3:$L$62&lt;=ROW()-2)*(Overview!$M$3:$M$62&gt;=ROW()-2)),Overview!$B$3:$B$62))</f>
        <v>15.08.26</v>
      </c>
      <c r="P37" s="14">
        <f>IF(A37="","",LOOKUP(2,1/((Overview!$L$3:$L$62&lt;=ROW()-2)*(Overview!$M$3:$M$62&gt;=ROW()-2)),Overview!$S$3:$S$62))</f>
        <v>46249</v>
      </c>
      <c r="Q37" s="5" t="str">
        <f>IF(A37="","",LOOKUP(2,1/((Overview!$L$3:$L$62&lt;=ROW()-2)*(Overview!$M$3:$M$62&gt;=ROW()-2)),Overview!$C$3:$C$62))</f>
        <v>48h</v>
      </c>
      <c r="R37" s="22" t="str">
        <f>IF(E37="","",IF(AND(I37&lt;&gt;"",LOOKUP(2,1/((Overview!$L$3:$L$62&lt;=ROW()-2)*(Overview!$M$3:$M$62&gt;=ROW()-2)),Overview!$Z$3:$Z$62)&lt;&gt;""),LEFT(E37,LEN(E37)-LEN(I37))&amp;LOOKUP(2,1/((Overview!$L$3:$L$62&lt;=ROW()-2)*(Overview!$M$3:$M$62&gt;=ROW()-2)),Overview!$Z$3:$Z$62)&amp;" "&amp;I37,E37)&amp;IF(AND(Q37="",LOOKUP(2,1/((Overview!$L$3:$L$62&lt;=ROW()-2)*(Overview!$M$3:$M$62&gt;=ROW()-2)),Overview!$W$3:$W$62)=""),"",", "&amp;IF(Q37&lt;&gt;"",Q37,"")&amp;IF(AND(Q37&lt;&gt;"",LOOKUP(2,1/((Overview!$L$3:$L$62&lt;=ROW()-2)*(Overview!$M$3:$M$62&gt;=ROW()-2)),Overview!$W$3:$W$62)&lt;&gt;"")," ","")&amp;LOOKUP(2,1/((Overview!$L$3:$L$62&lt;=ROW()-2)*(Overview!$M$3:$M$62&gt;=ROW()-2)),Overview!$W$3:$W$62)))</f>
        <v>YPDA + salt, 3, 48h growth</v>
      </c>
      <c r="S37" t="str">
        <f t="shared" si="1"/>
        <v>Duplicate resolved by Set</v>
      </c>
      <c r="U37" s="10" t="str">
        <f>IF(A37="","",O37&amp;IF(LOOKUP(2,1/((Overview!$L$3:$L$62&lt;=ROW()-2)*(Overview!$M$3:$M$62&gt;=ROW()-2)),Overview!$T$3:$T$62)&lt;&gt;"","_"&amp;LOOKUP(2,1/((Overview!$L$3:$L$62&lt;=ROW()-2)*(Overview!$M$3:$M$62&gt;=ROW()-2)),Overview!$T$3:$T$62),"")&amp;IF(Q37&lt;&gt;"","_"&amp;Q37,"")&amp;IF(E37&lt;&gt;"","_"&amp;E37,"")&amp;LOOKUP(2,1/((Overview!$L$3:$L$62&lt;=ROW()-2)*(Overview!$M$3:$M$62&gt;=ROW()-2)),Overview!$X$3:$X$62))</f>
        <v>15.08.26_48h_YPDA + salt, 3.jpg</v>
      </c>
      <c r="V37">
        <f t="shared" si="2"/>
        <v>2</v>
      </c>
      <c r="W37" t="str">
        <f>IF(U37="","",O37&amp;IF(LOOKUP(2,1/((Overview!$L$3:$L$62&lt;=ROW()-2)*(Overview!$M$3:$M$62&gt;=ROW()-2)),Overview!$T$3:$T$62)&lt;&gt;"","_"&amp;LOOKUP(2,1/((Overview!$L$3:$L$62&lt;=ROW()-2)*(Overview!$M$3:$M$62&gt;=ROW()-2)),Overview!$T$3:$T$62),"")&amp;"_"&amp;IF(LEFT(LOWER(TRIM(F37)),3)="set",TRIM(F37),"Set"&amp;TRIM(F37))&amp;IF(Q37&lt;&gt;"","_"&amp;Q37,"")&amp;IF(E37&lt;&gt;"","_"&amp;E37,"")&amp;LOOKUP(2,1/((Overview!$L$3:$L$62&lt;=ROW()-2)*(Overview!$M$3:$M$62&gt;=ROW()-2)),Overview!$X$3:$X$62))</f>
        <v>15.08.26_SetA_48h_YPDA + salt, 3.jpg</v>
      </c>
      <c r="X37">
        <f t="shared" si="3"/>
        <v>1</v>
      </c>
    </row>
    <row r="38" spans="1:24" ht="13.9" thickBot="1">
      <c r="A38" s="5">
        <f>IF(ROW()-2&gt;SUMIFS(Overview!$K$3:$K$62,Overview!$N$3:$N$62,"OK"),"",LOOKUP(2,1/((Overview!$L$3:$L$62&lt;=ROW()-2)*(Overview!$M$3:$M$62&gt;=ROW()-2)),Overview!$R$3:$R$62))</f>
        <v>1</v>
      </c>
      <c r="B38" s="5" t="str">
        <f>IF(A38="","",LOOKUP(2,1/((Overview!$L$3:$L$62&lt;=ROW()-2)*(Overview!$M$3:$M$62&gt;=ROW()-2)),Overview!$O$3:$O$62))</f>
        <v>15.08.26_48h</v>
      </c>
      <c r="C38" s="5" t="str">
        <f>IF(A38="","",LOOKUP(2,1/((Overview!$L$3:$L$62&lt;=ROW()-2)*(Overview!$M$3:$M$62&gt;=ROW()-2)),Overview!$Y$3:$Y$62))</f>
        <v>E1_15.08.26_48h</v>
      </c>
      <c r="D38" s="25">
        <f>IF(A38="","",ROW()-2-LOOKUP(2,1/((Overview!$L$3:$L$62&lt;=ROW()-2)*(Overview!$M$3:$M$62&gt;=ROW()-2)),Overview!$L$3:$L$62)+1)</f>
        <v>12</v>
      </c>
      <c r="E38" s="31" t="str">
        <f>IF(A38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38" s="25" t="str">
        <f>IF(A38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38" s="113" t="str">
        <f>IF(A38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8" s="31" t="str">
        <f>IF(A38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38" s="31">
        <f>IF(A38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38" s="25" t="str">
        <f>IF(A38="","","image"&amp;D38&amp;LOOKUP(2,1/((Overview!$L$3:$L$62&lt;=ROW()-2)*(Overview!$M$3:$M$62&gt;=ROW()-2)),Overview!$X$3:$X$62))</f>
        <v>image12.jpg</v>
      </c>
      <c r="K38" s="113" t="str">
        <f t="shared" si="4"/>
        <v>E1_15.08.26_48h_I012</v>
      </c>
      <c r="L38" s="27" t="str">
        <f>IF(U38="","",IF(V38=1,U38,IF(X38=1,W38,LEFT(W38,LEN(W38)-LEN(LOOKUP(2,1/((Overview!$L$3:$L$62&lt;=ROW()-2)*(Overview!$M$3:$M$62&gt;=ROW()-2)),Overview!$X$3:$X$62)))&amp;IF(COUNTIF($W$3:W38,W38)=1,"","__"&amp;COUNTIF($W$3:W38,W38))&amp;LOOKUP(2,1/((Overview!$L$3:$L$62&lt;=ROW()-2)*(Overview!$M$3:$M$62&gt;=ROW()-2)),Overview!$X$3:$X$62))))</f>
        <v>15.08.26_SetA_48h_YPDA + salt, 4.jpg</v>
      </c>
      <c r="M38" s="5" t="str">
        <f>IF(A38="","",LOOKUP(2,1/((Overview!$L$3:$L$62&lt;=ROW()-2)*(Overview!$M$3:$M$62&gt;=ROW()-2)),Overview!$U$3:$U$62))</f>
        <v>Arrangement 1</v>
      </c>
      <c r="N38" s="5" t="str">
        <f>IF(A38="","",LOOKUP(2,1/((Overview!$L$3:$L$62&lt;=ROW()-2)*(Overview!$M$3:$M$62&gt;=ROW()-2)),Overview!$V$3:$V$62))</f>
        <v>annotationSet 1</v>
      </c>
      <c r="O38" s="5" t="str">
        <f>IF(A38="","",LOOKUP(2,1/((Overview!$L$3:$L$62&lt;=ROW()-2)*(Overview!$M$3:$M$62&gt;=ROW()-2)),Overview!$B$3:$B$62))</f>
        <v>15.08.26</v>
      </c>
      <c r="P38" s="14">
        <f>IF(A38="","",LOOKUP(2,1/((Overview!$L$3:$L$62&lt;=ROW()-2)*(Overview!$M$3:$M$62&gt;=ROW()-2)),Overview!$S$3:$S$62))</f>
        <v>46249</v>
      </c>
      <c r="Q38" s="5" t="str">
        <f>IF(A38="","",LOOKUP(2,1/((Overview!$L$3:$L$62&lt;=ROW()-2)*(Overview!$M$3:$M$62&gt;=ROW()-2)),Overview!$C$3:$C$62))</f>
        <v>48h</v>
      </c>
      <c r="R38" s="22" t="str">
        <f>IF(E38="","",IF(AND(I38&lt;&gt;"",LOOKUP(2,1/((Overview!$L$3:$L$62&lt;=ROW()-2)*(Overview!$M$3:$M$62&gt;=ROW()-2)),Overview!$Z$3:$Z$62)&lt;&gt;""),LEFT(E38,LEN(E38)-LEN(I38))&amp;LOOKUP(2,1/((Overview!$L$3:$L$62&lt;=ROW()-2)*(Overview!$M$3:$M$62&gt;=ROW()-2)),Overview!$Z$3:$Z$62)&amp;" "&amp;I38,E38)&amp;IF(AND(Q38="",LOOKUP(2,1/((Overview!$L$3:$L$62&lt;=ROW()-2)*(Overview!$M$3:$M$62&gt;=ROW()-2)),Overview!$W$3:$W$62)=""),"",", "&amp;IF(Q38&lt;&gt;"",Q38,"")&amp;IF(AND(Q38&lt;&gt;"",LOOKUP(2,1/((Overview!$L$3:$L$62&lt;=ROW()-2)*(Overview!$M$3:$M$62&gt;=ROW()-2)),Overview!$W$3:$W$62)&lt;&gt;"")," ","")&amp;LOOKUP(2,1/((Overview!$L$3:$L$62&lt;=ROW()-2)*(Overview!$M$3:$M$62&gt;=ROW()-2)),Overview!$W$3:$W$62)))</f>
        <v>YPDA + salt, 4, 48h growth</v>
      </c>
      <c r="S38" t="str">
        <f t="shared" si="1"/>
        <v>Duplicate resolved by Set</v>
      </c>
      <c r="U38" s="10" t="str">
        <f>IF(A38="","",O38&amp;IF(LOOKUP(2,1/((Overview!$L$3:$L$62&lt;=ROW()-2)*(Overview!$M$3:$M$62&gt;=ROW()-2)),Overview!$T$3:$T$62)&lt;&gt;"","_"&amp;LOOKUP(2,1/((Overview!$L$3:$L$62&lt;=ROW()-2)*(Overview!$M$3:$M$62&gt;=ROW()-2)),Overview!$T$3:$T$62),"")&amp;IF(Q38&lt;&gt;"","_"&amp;Q38,"")&amp;IF(E38&lt;&gt;"","_"&amp;E38,"")&amp;LOOKUP(2,1/((Overview!$L$3:$L$62&lt;=ROW()-2)*(Overview!$M$3:$M$62&gt;=ROW()-2)),Overview!$X$3:$X$62))</f>
        <v>15.08.26_48h_YPDA + salt, 4.jpg</v>
      </c>
      <c r="V38">
        <f t="shared" si="2"/>
        <v>2</v>
      </c>
      <c r="W38" t="str">
        <f>IF(U38="","",O38&amp;IF(LOOKUP(2,1/((Overview!$L$3:$L$62&lt;=ROW()-2)*(Overview!$M$3:$M$62&gt;=ROW()-2)),Overview!$T$3:$T$62)&lt;&gt;"","_"&amp;LOOKUP(2,1/((Overview!$L$3:$L$62&lt;=ROW()-2)*(Overview!$M$3:$M$62&gt;=ROW()-2)),Overview!$T$3:$T$62),"")&amp;"_"&amp;IF(LEFT(LOWER(TRIM(F38)),3)="set",TRIM(F38),"Set"&amp;TRIM(F38))&amp;IF(Q38&lt;&gt;"","_"&amp;Q38,"")&amp;IF(E38&lt;&gt;"","_"&amp;E38,"")&amp;LOOKUP(2,1/((Overview!$L$3:$L$62&lt;=ROW()-2)*(Overview!$M$3:$M$62&gt;=ROW()-2)),Overview!$X$3:$X$62))</f>
        <v>15.08.26_SetA_48h_YPDA + salt, 4.jpg</v>
      </c>
      <c r="X38">
        <f t="shared" si="3"/>
        <v>1</v>
      </c>
    </row>
    <row r="39" spans="1:24" ht="13.9" thickBot="1">
      <c r="A39" s="5">
        <f>IF(ROW()-2&gt;SUMIFS(Overview!$K$3:$K$62,Overview!$N$3:$N$62,"OK"),"",LOOKUP(2,1/((Overview!$L$3:$L$62&lt;=ROW()-2)*(Overview!$M$3:$M$62&gt;=ROW()-2)),Overview!$R$3:$R$62))</f>
        <v>1</v>
      </c>
      <c r="B39" s="5" t="str">
        <f>IF(A39="","",LOOKUP(2,1/((Overview!$L$3:$L$62&lt;=ROW()-2)*(Overview!$M$3:$M$62&gt;=ROW()-2)),Overview!$O$3:$O$62))</f>
        <v>15.08.26_48h</v>
      </c>
      <c r="C39" s="5" t="str">
        <f>IF(A39="","",LOOKUP(2,1/((Overview!$L$3:$L$62&lt;=ROW()-2)*(Overview!$M$3:$M$62&gt;=ROW()-2)),Overview!$Y$3:$Y$62))</f>
        <v>E1_15.08.26_48h</v>
      </c>
      <c r="D39" s="32">
        <f>IF(A39="","",ROW()-2-LOOKUP(2,1/((Overview!$L$3:$L$62&lt;=ROW()-2)*(Overview!$M$3:$M$62&gt;=ROW()-2)),Overview!$L$3:$L$62)+1)</f>
        <v>13</v>
      </c>
      <c r="E39" s="24" t="str">
        <f>IF(A39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39" s="32" t="str">
        <f>IF(A39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39" s="113" t="str">
        <f>IF(A39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39" s="24" t="str">
        <f>IF(A39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39" s="24">
        <f>IF(A39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39" s="32" t="str">
        <f>IF(A39="","","image"&amp;D39&amp;LOOKUP(2,1/((Overview!$L$3:$L$62&lt;=ROW()-2)*(Overview!$M$3:$M$62&gt;=ROW()-2)),Overview!$X$3:$X$62))</f>
        <v>image13.jpg</v>
      </c>
      <c r="K39" s="113" t="str">
        <f t="shared" si="4"/>
        <v>E1_15.08.26_48h_I013</v>
      </c>
      <c r="L39" s="103" t="str">
        <f>IF(U39="","",IF(V39=1,U39,IF(X39=1,W39,LEFT(W39,LEN(W39)-LEN(LOOKUP(2,1/((Overview!$L$3:$L$62&lt;=ROW()-2)*(Overview!$M$3:$M$62&gt;=ROW()-2)),Overview!$X$3:$X$62)))&amp;IF(COUNTIF($W$3:W39,W39)=1,"","__"&amp;COUNTIF($W$3:W39,W39))&amp;LOOKUP(2,1/((Overview!$L$3:$L$62&lt;=ROW()-2)*(Overview!$M$3:$M$62&gt;=ROW()-2)),Overview!$X$3:$X$62))))</f>
        <v>15.08.26_SetB_48h_YPDA, 1.jpg</v>
      </c>
      <c r="M39" s="5" t="str">
        <f>IF(A39="","",LOOKUP(2,1/((Overview!$L$3:$L$62&lt;=ROW()-2)*(Overview!$M$3:$M$62&gt;=ROW()-2)),Overview!$U$3:$U$62))</f>
        <v>Arrangement 1</v>
      </c>
      <c r="N39" s="5" t="str">
        <f>IF(A39="","",LOOKUP(2,1/((Overview!$L$3:$L$62&lt;=ROW()-2)*(Overview!$M$3:$M$62&gt;=ROW()-2)),Overview!$V$3:$V$62))</f>
        <v>annotationSet 1</v>
      </c>
      <c r="O39" s="5" t="str">
        <f>IF(A39="","",LOOKUP(2,1/((Overview!$L$3:$L$62&lt;=ROW()-2)*(Overview!$M$3:$M$62&gt;=ROW()-2)),Overview!$B$3:$B$62))</f>
        <v>15.08.26</v>
      </c>
      <c r="P39" s="14">
        <f>IF(A39="","",LOOKUP(2,1/((Overview!$L$3:$L$62&lt;=ROW()-2)*(Overview!$M$3:$M$62&gt;=ROW()-2)),Overview!$S$3:$S$62))</f>
        <v>46249</v>
      </c>
      <c r="Q39" s="5" t="str">
        <f>IF(A39="","",LOOKUP(2,1/((Overview!$L$3:$L$62&lt;=ROW()-2)*(Overview!$M$3:$M$62&gt;=ROW()-2)),Overview!$C$3:$C$62))</f>
        <v>48h</v>
      </c>
      <c r="R39" s="22" t="str">
        <f>IF(E39="","",IF(AND(I39&lt;&gt;"",LOOKUP(2,1/((Overview!$L$3:$L$62&lt;=ROW()-2)*(Overview!$M$3:$M$62&gt;=ROW()-2)),Overview!$Z$3:$Z$62)&lt;&gt;""),LEFT(E39,LEN(E39)-LEN(I39))&amp;LOOKUP(2,1/((Overview!$L$3:$L$62&lt;=ROW()-2)*(Overview!$M$3:$M$62&gt;=ROW()-2)),Overview!$Z$3:$Z$62)&amp;" "&amp;I39,E39)&amp;IF(AND(Q39="",LOOKUP(2,1/((Overview!$L$3:$L$62&lt;=ROW()-2)*(Overview!$M$3:$M$62&gt;=ROW()-2)),Overview!$W$3:$W$62)=""),"",", "&amp;IF(Q39&lt;&gt;"",Q39,"")&amp;IF(AND(Q39&lt;&gt;"",LOOKUP(2,1/((Overview!$L$3:$L$62&lt;=ROW()-2)*(Overview!$M$3:$M$62&gt;=ROW()-2)),Overview!$W$3:$W$62)&lt;&gt;"")," ","")&amp;LOOKUP(2,1/((Overview!$L$3:$L$62&lt;=ROW()-2)*(Overview!$M$3:$M$62&gt;=ROW()-2)),Overview!$W$3:$W$62)))</f>
        <v>YPDA, 1, 48h growth</v>
      </c>
      <c r="S39" t="str">
        <f t="shared" si="1"/>
        <v>Duplicate resolved by Set</v>
      </c>
      <c r="U39" s="10" t="str">
        <f>IF(A39="","",O39&amp;IF(LOOKUP(2,1/((Overview!$L$3:$L$62&lt;=ROW()-2)*(Overview!$M$3:$M$62&gt;=ROW()-2)),Overview!$T$3:$T$62)&lt;&gt;"","_"&amp;LOOKUP(2,1/((Overview!$L$3:$L$62&lt;=ROW()-2)*(Overview!$M$3:$M$62&gt;=ROW()-2)),Overview!$T$3:$T$62),"")&amp;IF(Q39&lt;&gt;"","_"&amp;Q39,"")&amp;IF(E39&lt;&gt;"","_"&amp;E39,"")&amp;LOOKUP(2,1/((Overview!$L$3:$L$62&lt;=ROW()-2)*(Overview!$M$3:$M$62&gt;=ROW()-2)),Overview!$X$3:$X$62))</f>
        <v>15.08.26_48h_YPDA, 1.jpg</v>
      </c>
      <c r="V39">
        <f t="shared" si="2"/>
        <v>2</v>
      </c>
      <c r="W39" t="str">
        <f>IF(U39="","",O39&amp;IF(LOOKUP(2,1/((Overview!$L$3:$L$62&lt;=ROW()-2)*(Overview!$M$3:$M$62&gt;=ROW()-2)),Overview!$T$3:$T$62)&lt;&gt;"","_"&amp;LOOKUP(2,1/((Overview!$L$3:$L$62&lt;=ROW()-2)*(Overview!$M$3:$M$62&gt;=ROW()-2)),Overview!$T$3:$T$62),"")&amp;"_"&amp;IF(LEFT(LOWER(TRIM(F39)),3)="set",TRIM(F39),"Set"&amp;TRIM(F39))&amp;IF(Q39&lt;&gt;"","_"&amp;Q39,"")&amp;IF(E39&lt;&gt;"","_"&amp;E39,"")&amp;LOOKUP(2,1/((Overview!$L$3:$L$62&lt;=ROW()-2)*(Overview!$M$3:$M$62&gt;=ROW()-2)),Overview!$X$3:$X$62))</f>
        <v>15.08.26_SetB_48h_YPDA, 1.jpg</v>
      </c>
      <c r="X39">
        <f t="shared" si="3"/>
        <v>1</v>
      </c>
    </row>
    <row r="40" spans="1:24" ht="13.9" thickBot="1">
      <c r="A40" s="5">
        <f>IF(ROW()-2&gt;SUMIFS(Overview!$K$3:$K$62,Overview!$N$3:$N$62,"OK"),"",LOOKUP(2,1/((Overview!$L$3:$L$62&lt;=ROW()-2)*(Overview!$M$3:$M$62&gt;=ROW()-2)),Overview!$R$3:$R$62))</f>
        <v>1</v>
      </c>
      <c r="B40" s="5" t="str">
        <f>IF(A40="","",LOOKUP(2,1/((Overview!$L$3:$L$62&lt;=ROW()-2)*(Overview!$M$3:$M$62&gt;=ROW()-2)),Overview!$O$3:$O$62))</f>
        <v>15.08.26_48h</v>
      </c>
      <c r="C40" s="5" t="str">
        <f>IF(A40="","",LOOKUP(2,1/((Overview!$L$3:$L$62&lt;=ROW()-2)*(Overview!$M$3:$M$62&gt;=ROW()-2)),Overview!$Y$3:$Y$62))</f>
        <v>E1_15.08.26_48h</v>
      </c>
      <c r="D40" s="32">
        <f>IF(A40="","",ROW()-2-LOOKUP(2,1/((Overview!$L$3:$L$62&lt;=ROW()-2)*(Overview!$M$3:$M$62&gt;=ROW()-2)),Overview!$L$3:$L$62)+1)</f>
        <v>14</v>
      </c>
      <c r="E40" s="24" t="str">
        <f>IF(A40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40" s="32" t="str">
        <f>IF(A40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0" s="113" t="str">
        <f>IF(A40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0" s="24" t="str">
        <f>IF(A40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40" s="24">
        <f>IF(A40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40" s="32" t="str">
        <f>IF(A40="","","image"&amp;D40&amp;LOOKUP(2,1/((Overview!$L$3:$L$62&lt;=ROW()-2)*(Overview!$M$3:$M$62&gt;=ROW()-2)),Overview!$X$3:$X$62))</f>
        <v>image14.jpg</v>
      </c>
      <c r="K40" s="113" t="str">
        <f t="shared" si="4"/>
        <v>E1_15.08.26_48h_I014</v>
      </c>
      <c r="L40" s="103" t="str">
        <f>IF(U40="","",IF(V40=1,U40,IF(X40=1,W40,LEFT(W40,LEN(W40)-LEN(LOOKUP(2,1/((Overview!$L$3:$L$62&lt;=ROW()-2)*(Overview!$M$3:$M$62&gt;=ROW()-2)),Overview!$X$3:$X$62)))&amp;IF(COUNTIF($W$3:W40,W40)=1,"","__"&amp;COUNTIF($W$3:W40,W40))&amp;LOOKUP(2,1/((Overview!$L$3:$L$62&lt;=ROW()-2)*(Overview!$M$3:$M$62&gt;=ROW()-2)),Overview!$X$3:$X$62))))</f>
        <v>15.08.26_SetB_48h_YPDA, 2.jpg</v>
      </c>
      <c r="M40" s="5" t="str">
        <f>IF(A40="","",LOOKUP(2,1/((Overview!$L$3:$L$62&lt;=ROW()-2)*(Overview!$M$3:$M$62&gt;=ROW()-2)),Overview!$U$3:$U$62))</f>
        <v>Arrangement 1</v>
      </c>
      <c r="N40" s="5" t="str">
        <f>IF(A40="","",LOOKUP(2,1/((Overview!$L$3:$L$62&lt;=ROW()-2)*(Overview!$M$3:$M$62&gt;=ROW()-2)),Overview!$V$3:$V$62))</f>
        <v>annotationSet 1</v>
      </c>
      <c r="O40" s="5" t="str">
        <f>IF(A40="","",LOOKUP(2,1/((Overview!$L$3:$L$62&lt;=ROW()-2)*(Overview!$M$3:$M$62&gt;=ROW()-2)),Overview!$B$3:$B$62))</f>
        <v>15.08.26</v>
      </c>
      <c r="P40" s="14">
        <f>IF(A40="","",LOOKUP(2,1/((Overview!$L$3:$L$62&lt;=ROW()-2)*(Overview!$M$3:$M$62&gt;=ROW()-2)),Overview!$S$3:$S$62))</f>
        <v>46249</v>
      </c>
      <c r="Q40" s="5" t="str">
        <f>IF(A40="","",LOOKUP(2,1/((Overview!$L$3:$L$62&lt;=ROW()-2)*(Overview!$M$3:$M$62&gt;=ROW()-2)),Overview!$C$3:$C$62))</f>
        <v>48h</v>
      </c>
      <c r="R40" s="22" t="str">
        <f>IF(E40="","",IF(AND(I40&lt;&gt;"",LOOKUP(2,1/((Overview!$L$3:$L$62&lt;=ROW()-2)*(Overview!$M$3:$M$62&gt;=ROW()-2)),Overview!$Z$3:$Z$62)&lt;&gt;""),LEFT(E40,LEN(E40)-LEN(I40))&amp;LOOKUP(2,1/((Overview!$L$3:$L$62&lt;=ROW()-2)*(Overview!$M$3:$M$62&gt;=ROW()-2)),Overview!$Z$3:$Z$62)&amp;" "&amp;I40,E40)&amp;IF(AND(Q40="",LOOKUP(2,1/((Overview!$L$3:$L$62&lt;=ROW()-2)*(Overview!$M$3:$M$62&gt;=ROW()-2)),Overview!$W$3:$W$62)=""),"",", "&amp;IF(Q40&lt;&gt;"",Q40,"")&amp;IF(AND(Q40&lt;&gt;"",LOOKUP(2,1/((Overview!$L$3:$L$62&lt;=ROW()-2)*(Overview!$M$3:$M$62&gt;=ROW()-2)),Overview!$W$3:$W$62)&lt;&gt;"")," ","")&amp;LOOKUP(2,1/((Overview!$L$3:$L$62&lt;=ROW()-2)*(Overview!$M$3:$M$62&gt;=ROW()-2)),Overview!$W$3:$W$62)))</f>
        <v>YPDA, 2, 48h growth</v>
      </c>
      <c r="S40" t="str">
        <f t="shared" si="1"/>
        <v>Duplicate resolved by Set</v>
      </c>
      <c r="U40" s="10" t="str">
        <f>IF(A40="","",O40&amp;IF(LOOKUP(2,1/((Overview!$L$3:$L$62&lt;=ROW()-2)*(Overview!$M$3:$M$62&gt;=ROW()-2)),Overview!$T$3:$T$62)&lt;&gt;"","_"&amp;LOOKUP(2,1/((Overview!$L$3:$L$62&lt;=ROW()-2)*(Overview!$M$3:$M$62&gt;=ROW()-2)),Overview!$T$3:$T$62),"")&amp;IF(Q40&lt;&gt;"","_"&amp;Q40,"")&amp;IF(E40&lt;&gt;"","_"&amp;E40,"")&amp;LOOKUP(2,1/((Overview!$L$3:$L$62&lt;=ROW()-2)*(Overview!$M$3:$M$62&gt;=ROW()-2)),Overview!$X$3:$X$62))</f>
        <v>15.08.26_48h_YPDA, 2.jpg</v>
      </c>
      <c r="V40">
        <f t="shared" si="2"/>
        <v>2</v>
      </c>
      <c r="W40" t="str">
        <f>IF(U40="","",O40&amp;IF(LOOKUP(2,1/((Overview!$L$3:$L$62&lt;=ROW()-2)*(Overview!$M$3:$M$62&gt;=ROW()-2)),Overview!$T$3:$T$62)&lt;&gt;"","_"&amp;LOOKUP(2,1/((Overview!$L$3:$L$62&lt;=ROW()-2)*(Overview!$M$3:$M$62&gt;=ROW()-2)),Overview!$T$3:$T$62),"")&amp;"_"&amp;IF(LEFT(LOWER(TRIM(F40)),3)="set",TRIM(F40),"Set"&amp;TRIM(F40))&amp;IF(Q40&lt;&gt;"","_"&amp;Q40,"")&amp;IF(E40&lt;&gt;"","_"&amp;E40,"")&amp;LOOKUP(2,1/((Overview!$L$3:$L$62&lt;=ROW()-2)*(Overview!$M$3:$M$62&gt;=ROW()-2)),Overview!$X$3:$X$62))</f>
        <v>15.08.26_SetB_48h_YPDA, 2.jpg</v>
      </c>
      <c r="X40">
        <f t="shared" si="3"/>
        <v>1</v>
      </c>
    </row>
    <row r="41" spans="1:24" ht="13.9" thickBot="1">
      <c r="A41" s="5">
        <f>IF(ROW()-2&gt;SUMIFS(Overview!$K$3:$K$62,Overview!$N$3:$N$62,"OK"),"",LOOKUP(2,1/((Overview!$L$3:$L$62&lt;=ROW()-2)*(Overview!$M$3:$M$62&gt;=ROW()-2)),Overview!$R$3:$R$62))</f>
        <v>1</v>
      </c>
      <c r="B41" s="5" t="str">
        <f>IF(A41="","",LOOKUP(2,1/((Overview!$L$3:$L$62&lt;=ROW()-2)*(Overview!$M$3:$M$62&gt;=ROW()-2)),Overview!$O$3:$O$62))</f>
        <v>15.08.26_48h</v>
      </c>
      <c r="C41" s="5" t="str">
        <f>IF(A41="","",LOOKUP(2,1/((Overview!$L$3:$L$62&lt;=ROW()-2)*(Overview!$M$3:$M$62&gt;=ROW()-2)),Overview!$Y$3:$Y$62))</f>
        <v>E1_15.08.26_48h</v>
      </c>
      <c r="D41" s="32">
        <f>IF(A41="","",ROW()-2-LOOKUP(2,1/((Overview!$L$3:$L$62&lt;=ROW()-2)*(Overview!$M$3:$M$62&gt;=ROW()-2)),Overview!$L$3:$L$62)+1)</f>
        <v>15</v>
      </c>
      <c r="E41" s="24" t="str">
        <f>IF(A41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41" s="32" t="str">
        <f>IF(A41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1" s="113" t="str">
        <f>IF(A41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1" s="24" t="str">
        <f>IF(A41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41" s="24">
        <f>IF(A41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41" s="32" t="str">
        <f>IF(A41="","","image"&amp;D41&amp;LOOKUP(2,1/((Overview!$L$3:$L$62&lt;=ROW()-2)*(Overview!$M$3:$M$62&gt;=ROW()-2)),Overview!$X$3:$X$62))</f>
        <v>image15.jpg</v>
      </c>
      <c r="K41" s="113" t="str">
        <f t="shared" si="4"/>
        <v>E1_15.08.26_48h_I015</v>
      </c>
      <c r="L41" s="103" t="str">
        <f>IF(U41="","",IF(V41=1,U41,IF(X41=1,W41,LEFT(W41,LEN(W41)-LEN(LOOKUP(2,1/((Overview!$L$3:$L$62&lt;=ROW()-2)*(Overview!$M$3:$M$62&gt;=ROW()-2)),Overview!$X$3:$X$62)))&amp;IF(COUNTIF($W$3:W41,W41)=1,"","__"&amp;COUNTIF($W$3:W41,W41))&amp;LOOKUP(2,1/((Overview!$L$3:$L$62&lt;=ROW()-2)*(Overview!$M$3:$M$62&gt;=ROW()-2)),Overview!$X$3:$X$62))))</f>
        <v>15.08.26_SetB_48h_YPDA, 3.jpg</v>
      </c>
      <c r="M41" s="5" t="str">
        <f>IF(A41="","",LOOKUP(2,1/((Overview!$L$3:$L$62&lt;=ROW()-2)*(Overview!$M$3:$M$62&gt;=ROW()-2)),Overview!$U$3:$U$62))</f>
        <v>Arrangement 1</v>
      </c>
      <c r="N41" s="5" t="str">
        <f>IF(A41="","",LOOKUP(2,1/((Overview!$L$3:$L$62&lt;=ROW()-2)*(Overview!$M$3:$M$62&gt;=ROW()-2)),Overview!$V$3:$V$62))</f>
        <v>annotationSet 1</v>
      </c>
      <c r="O41" s="5" t="str">
        <f>IF(A41="","",LOOKUP(2,1/((Overview!$L$3:$L$62&lt;=ROW()-2)*(Overview!$M$3:$M$62&gt;=ROW()-2)),Overview!$B$3:$B$62))</f>
        <v>15.08.26</v>
      </c>
      <c r="P41" s="14">
        <f>IF(A41="","",LOOKUP(2,1/((Overview!$L$3:$L$62&lt;=ROW()-2)*(Overview!$M$3:$M$62&gt;=ROW()-2)),Overview!$S$3:$S$62))</f>
        <v>46249</v>
      </c>
      <c r="Q41" s="5" t="str">
        <f>IF(A41="","",LOOKUP(2,1/((Overview!$L$3:$L$62&lt;=ROW()-2)*(Overview!$M$3:$M$62&gt;=ROW()-2)),Overview!$C$3:$C$62))</f>
        <v>48h</v>
      </c>
      <c r="R41" s="22" t="str">
        <f>IF(E41="","",IF(AND(I41&lt;&gt;"",LOOKUP(2,1/((Overview!$L$3:$L$62&lt;=ROW()-2)*(Overview!$M$3:$M$62&gt;=ROW()-2)),Overview!$Z$3:$Z$62)&lt;&gt;""),LEFT(E41,LEN(E41)-LEN(I41))&amp;LOOKUP(2,1/((Overview!$L$3:$L$62&lt;=ROW()-2)*(Overview!$M$3:$M$62&gt;=ROW()-2)),Overview!$Z$3:$Z$62)&amp;" "&amp;I41,E41)&amp;IF(AND(Q41="",LOOKUP(2,1/((Overview!$L$3:$L$62&lt;=ROW()-2)*(Overview!$M$3:$M$62&gt;=ROW()-2)),Overview!$W$3:$W$62)=""),"",", "&amp;IF(Q41&lt;&gt;"",Q41,"")&amp;IF(AND(Q41&lt;&gt;"",LOOKUP(2,1/((Overview!$L$3:$L$62&lt;=ROW()-2)*(Overview!$M$3:$M$62&gt;=ROW()-2)),Overview!$W$3:$W$62)&lt;&gt;"")," ","")&amp;LOOKUP(2,1/((Overview!$L$3:$L$62&lt;=ROW()-2)*(Overview!$M$3:$M$62&gt;=ROW()-2)),Overview!$W$3:$W$62)))</f>
        <v>YPDA, 3, 48h growth</v>
      </c>
      <c r="S41" t="str">
        <f t="shared" si="1"/>
        <v>Duplicate resolved by Set</v>
      </c>
      <c r="U41" s="10" t="str">
        <f>IF(A41="","",O41&amp;IF(LOOKUP(2,1/((Overview!$L$3:$L$62&lt;=ROW()-2)*(Overview!$M$3:$M$62&gt;=ROW()-2)),Overview!$T$3:$T$62)&lt;&gt;"","_"&amp;LOOKUP(2,1/((Overview!$L$3:$L$62&lt;=ROW()-2)*(Overview!$M$3:$M$62&gt;=ROW()-2)),Overview!$T$3:$T$62),"")&amp;IF(Q41&lt;&gt;"","_"&amp;Q41,"")&amp;IF(E41&lt;&gt;"","_"&amp;E41,"")&amp;LOOKUP(2,1/((Overview!$L$3:$L$62&lt;=ROW()-2)*(Overview!$M$3:$M$62&gt;=ROW()-2)),Overview!$X$3:$X$62))</f>
        <v>15.08.26_48h_YPDA, 3.jpg</v>
      </c>
      <c r="V41">
        <f t="shared" si="2"/>
        <v>2</v>
      </c>
      <c r="W41" t="str">
        <f>IF(U41="","",O41&amp;IF(LOOKUP(2,1/((Overview!$L$3:$L$62&lt;=ROW()-2)*(Overview!$M$3:$M$62&gt;=ROW()-2)),Overview!$T$3:$T$62)&lt;&gt;"","_"&amp;LOOKUP(2,1/((Overview!$L$3:$L$62&lt;=ROW()-2)*(Overview!$M$3:$M$62&gt;=ROW()-2)),Overview!$T$3:$T$62),"")&amp;"_"&amp;IF(LEFT(LOWER(TRIM(F41)),3)="set",TRIM(F41),"Set"&amp;TRIM(F41))&amp;IF(Q41&lt;&gt;"","_"&amp;Q41,"")&amp;IF(E41&lt;&gt;"","_"&amp;E41,"")&amp;LOOKUP(2,1/((Overview!$L$3:$L$62&lt;=ROW()-2)*(Overview!$M$3:$M$62&gt;=ROW()-2)),Overview!$X$3:$X$62))</f>
        <v>15.08.26_SetB_48h_YPDA, 3.jpg</v>
      </c>
      <c r="X41">
        <f t="shared" si="3"/>
        <v>1</v>
      </c>
    </row>
    <row r="42" spans="1:24" ht="13.9" thickBot="1">
      <c r="A42" s="5">
        <f>IF(ROW()-2&gt;SUMIFS(Overview!$K$3:$K$62,Overview!$N$3:$N$62,"OK"),"",LOOKUP(2,1/((Overview!$L$3:$L$62&lt;=ROW()-2)*(Overview!$M$3:$M$62&gt;=ROW()-2)),Overview!$R$3:$R$62))</f>
        <v>1</v>
      </c>
      <c r="B42" s="5" t="str">
        <f>IF(A42="","",LOOKUP(2,1/((Overview!$L$3:$L$62&lt;=ROW()-2)*(Overview!$M$3:$M$62&gt;=ROW()-2)),Overview!$O$3:$O$62))</f>
        <v>15.08.26_48h</v>
      </c>
      <c r="C42" s="5" t="str">
        <f>IF(A42="","",LOOKUP(2,1/((Overview!$L$3:$L$62&lt;=ROW()-2)*(Overview!$M$3:$M$62&gt;=ROW()-2)),Overview!$Y$3:$Y$62))</f>
        <v>E1_15.08.26_48h</v>
      </c>
      <c r="D42" s="32">
        <f>IF(A42="","",ROW()-2-LOOKUP(2,1/((Overview!$L$3:$L$62&lt;=ROW()-2)*(Overview!$M$3:$M$62&gt;=ROW()-2)),Overview!$L$3:$L$62)+1)</f>
        <v>16</v>
      </c>
      <c r="E42" s="24" t="str">
        <f>IF(A42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42" s="32" t="str">
        <f>IF(A42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2" s="113" t="str">
        <f>IF(A42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2" s="24" t="str">
        <f>IF(A42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42" s="24">
        <f>IF(A42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42" s="32" t="str">
        <f>IF(A42="","","image"&amp;D42&amp;LOOKUP(2,1/((Overview!$L$3:$L$62&lt;=ROW()-2)*(Overview!$M$3:$M$62&gt;=ROW()-2)),Overview!$X$3:$X$62))</f>
        <v>image16.jpg</v>
      </c>
      <c r="K42" s="113" t="str">
        <f t="shared" si="4"/>
        <v>E1_15.08.26_48h_I016</v>
      </c>
      <c r="L42" s="103" t="str">
        <f>IF(U42="","",IF(V42=1,U42,IF(X42=1,W42,LEFT(W42,LEN(W42)-LEN(LOOKUP(2,1/((Overview!$L$3:$L$62&lt;=ROW()-2)*(Overview!$M$3:$M$62&gt;=ROW()-2)),Overview!$X$3:$X$62)))&amp;IF(COUNTIF($W$3:W42,W42)=1,"","__"&amp;COUNTIF($W$3:W42,W42))&amp;LOOKUP(2,1/((Overview!$L$3:$L$62&lt;=ROW()-2)*(Overview!$M$3:$M$62&gt;=ROW()-2)),Overview!$X$3:$X$62))))</f>
        <v>15.08.26_SetB_48h_YPDA, 4.jpg</v>
      </c>
      <c r="M42" s="5" t="str">
        <f>IF(A42="","",LOOKUP(2,1/((Overview!$L$3:$L$62&lt;=ROW()-2)*(Overview!$M$3:$M$62&gt;=ROW()-2)),Overview!$U$3:$U$62))</f>
        <v>Arrangement 1</v>
      </c>
      <c r="N42" s="5" t="str">
        <f>IF(A42="","",LOOKUP(2,1/((Overview!$L$3:$L$62&lt;=ROW()-2)*(Overview!$M$3:$M$62&gt;=ROW()-2)),Overview!$V$3:$V$62))</f>
        <v>annotationSet 1</v>
      </c>
      <c r="O42" s="5" t="str">
        <f>IF(A42="","",LOOKUP(2,1/((Overview!$L$3:$L$62&lt;=ROW()-2)*(Overview!$M$3:$M$62&gt;=ROW()-2)),Overview!$B$3:$B$62))</f>
        <v>15.08.26</v>
      </c>
      <c r="P42" s="14">
        <f>IF(A42="","",LOOKUP(2,1/((Overview!$L$3:$L$62&lt;=ROW()-2)*(Overview!$M$3:$M$62&gt;=ROW()-2)),Overview!$S$3:$S$62))</f>
        <v>46249</v>
      </c>
      <c r="Q42" s="5" t="str">
        <f>IF(A42="","",LOOKUP(2,1/((Overview!$L$3:$L$62&lt;=ROW()-2)*(Overview!$M$3:$M$62&gt;=ROW()-2)),Overview!$C$3:$C$62))</f>
        <v>48h</v>
      </c>
      <c r="R42" s="22" t="str">
        <f>IF(E42="","",IF(AND(I42&lt;&gt;"",LOOKUP(2,1/((Overview!$L$3:$L$62&lt;=ROW()-2)*(Overview!$M$3:$M$62&gt;=ROW()-2)),Overview!$Z$3:$Z$62)&lt;&gt;""),LEFT(E42,LEN(E42)-LEN(I42))&amp;LOOKUP(2,1/((Overview!$L$3:$L$62&lt;=ROW()-2)*(Overview!$M$3:$M$62&gt;=ROW()-2)),Overview!$Z$3:$Z$62)&amp;" "&amp;I42,E42)&amp;IF(AND(Q42="",LOOKUP(2,1/((Overview!$L$3:$L$62&lt;=ROW()-2)*(Overview!$M$3:$M$62&gt;=ROW()-2)),Overview!$W$3:$W$62)=""),"",", "&amp;IF(Q42&lt;&gt;"",Q42,"")&amp;IF(AND(Q42&lt;&gt;"",LOOKUP(2,1/((Overview!$L$3:$L$62&lt;=ROW()-2)*(Overview!$M$3:$M$62&gt;=ROW()-2)),Overview!$W$3:$W$62)&lt;&gt;"")," ","")&amp;LOOKUP(2,1/((Overview!$L$3:$L$62&lt;=ROW()-2)*(Overview!$M$3:$M$62&gt;=ROW()-2)),Overview!$W$3:$W$62)))</f>
        <v>YPDA, 4, 48h growth</v>
      </c>
      <c r="S42" t="str">
        <f t="shared" si="1"/>
        <v>Duplicate resolved by Set</v>
      </c>
      <c r="U42" s="10" t="str">
        <f>IF(A42="","",O42&amp;IF(LOOKUP(2,1/((Overview!$L$3:$L$62&lt;=ROW()-2)*(Overview!$M$3:$M$62&gt;=ROW()-2)),Overview!$T$3:$T$62)&lt;&gt;"","_"&amp;LOOKUP(2,1/((Overview!$L$3:$L$62&lt;=ROW()-2)*(Overview!$M$3:$M$62&gt;=ROW()-2)),Overview!$T$3:$T$62),"")&amp;IF(Q42&lt;&gt;"","_"&amp;Q42,"")&amp;IF(E42&lt;&gt;"","_"&amp;E42,"")&amp;LOOKUP(2,1/((Overview!$L$3:$L$62&lt;=ROW()-2)*(Overview!$M$3:$M$62&gt;=ROW()-2)),Overview!$X$3:$X$62))</f>
        <v>15.08.26_48h_YPDA, 4.jpg</v>
      </c>
      <c r="V42">
        <f t="shared" si="2"/>
        <v>2</v>
      </c>
      <c r="W42" t="str">
        <f>IF(U42="","",O42&amp;IF(LOOKUP(2,1/((Overview!$L$3:$L$62&lt;=ROW()-2)*(Overview!$M$3:$M$62&gt;=ROW()-2)),Overview!$T$3:$T$62)&lt;&gt;"","_"&amp;LOOKUP(2,1/((Overview!$L$3:$L$62&lt;=ROW()-2)*(Overview!$M$3:$M$62&gt;=ROW()-2)),Overview!$T$3:$T$62),"")&amp;"_"&amp;IF(LEFT(LOWER(TRIM(F42)),3)="set",TRIM(F42),"Set"&amp;TRIM(F42))&amp;IF(Q42&lt;&gt;"","_"&amp;Q42,"")&amp;IF(E42&lt;&gt;"","_"&amp;E42,"")&amp;LOOKUP(2,1/((Overview!$L$3:$L$62&lt;=ROW()-2)*(Overview!$M$3:$M$62&gt;=ROW()-2)),Overview!$X$3:$X$62))</f>
        <v>15.08.26_SetB_48h_YPDA, 4.jpg</v>
      </c>
      <c r="X42">
        <f t="shared" si="3"/>
        <v>1</v>
      </c>
    </row>
    <row r="43" spans="1:24" ht="13.9" thickBot="1">
      <c r="A43" s="5">
        <f>IF(ROW()-2&gt;SUMIFS(Overview!$K$3:$K$62,Overview!$N$3:$N$62,"OK"),"",LOOKUP(2,1/((Overview!$L$3:$L$62&lt;=ROW()-2)*(Overview!$M$3:$M$62&gt;=ROW()-2)),Overview!$R$3:$R$62))</f>
        <v>1</v>
      </c>
      <c r="B43" s="5" t="str">
        <f>IF(A43="","",LOOKUP(2,1/((Overview!$L$3:$L$62&lt;=ROW()-2)*(Overview!$M$3:$M$62&gt;=ROW()-2)),Overview!$O$3:$O$62))</f>
        <v>15.08.26_48h</v>
      </c>
      <c r="C43" s="5" t="str">
        <f>IF(A43="","",LOOKUP(2,1/((Overview!$L$3:$L$62&lt;=ROW()-2)*(Overview!$M$3:$M$62&gt;=ROW()-2)),Overview!$Y$3:$Y$62))</f>
        <v>E1_15.08.26_48h</v>
      </c>
      <c r="D43" s="32">
        <f>IF(A43="","",ROW()-2-LOOKUP(2,1/((Overview!$L$3:$L$62&lt;=ROW()-2)*(Overview!$M$3:$M$62&gt;=ROW()-2)),Overview!$L$3:$L$62)+1)</f>
        <v>17</v>
      </c>
      <c r="E43" s="30" t="str">
        <f>IF(A43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43" s="32" t="str">
        <f>IF(A43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3" s="113" t="str">
        <f>IF(A43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3" s="30" t="str">
        <f>IF(A43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43" s="30">
        <f>IF(A43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43" s="32" t="str">
        <f>IF(A43="","","image"&amp;D43&amp;LOOKUP(2,1/((Overview!$L$3:$L$62&lt;=ROW()-2)*(Overview!$M$3:$M$62&gt;=ROW()-2)),Overview!$X$3:$X$62))</f>
        <v>image17.jpg</v>
      </c>
      <c r="K43" s="113" t="str">
        <f t="shared" si="4"/>
        <v>E1_15.08.26_48h_I017</v>
      </c>
      <c r="L43" s="103" t="str">
        <f>IF(U43="","",IF(V43=1,U43,IF(X43=1,W43,LEFT(W43,LEN(W43)-LEN(LOOKUP(2,1/((Overview!$L$3:$L$62&lt;=ROW()-2)*(Overview!$M$3:$M$62&gt;=ROW()-2)),Overview!$X$3:$X$62)))&amp;IF(COUNTIF($W$3:W43,W43)=1,"","__"&amp;COUNTIF($W$3:W43,W43))&amp;LOOKUP(2,1/((Overview!$L$3:$L$62&lt;=ROW()-2)*(Overview!$M$3:$M$62&gt;=ROW()-2)),Overview!$X$3:$X$62))))</f>
        <v>15.08.26_SetB_48h_YPDA + heat, 1.jpg</v>
      </c>
      <c r="M43" s="5" t="str">
        <f>IF(A43="","",LOOKUP(2,1/((Overview!$L$3:$L$62&lt;=ROW()-2)*(Overview!$M$3:$M$62&gt;=ROW()-2)),Overview!$U$3:$U$62))</f>
        <v>Arrangement 1</v>
      </c>
      <c r="N43" s="5" t="str">
        <f>IF(A43="","",LOOKUP(2,1/((Overview!$L$3:$L$62&lt;=ROW()-2)*(Overview!$M$3:$M$62&gt;=ROW()-2)),Overview!$V$3:$V$62))</f>
        <v>annotationSet 1</v>
      </c>
      <c r="O43" s="5" t="str">
        <f>IF(A43="","",LOOKUP(2,1/((Overview!$L$3:$L$62&lt;=ROW()-2)*(Overview!$M$3:$M$62&gt;=ROW()-2)),Overview!$B$3:$B$62))</f>
        <v>15.08.26</v>
      </c>
      <c r="P43" s="14">
        <f>IF(A43="","",LOOKUP(2,1/((Overview!$L$3:$L$62&lt;=ROW()-2)*(Overview!$M$3:$M$62&gt;=ROW()-2)),Overview!$S$3:$S$62))</f>
        <v>46249</v>
      </c>
      <c r="Q43" s="5" t="str">
        <f>IF(A43="","",LOOKUP(2,1/((Overview!$L$3:$L$62&lt;=ROW()-2)*(Overview!$M$3:$M$62&gt;=ROW()-2)),Overview!$C$3:$C$62))</f>
        <v>48h</v>
      </c>
      <c r="R43" s="22" t="str">
        <f>IF(E43="","",IF(AND(I43&lt;&gt;"",LOOKUP(2,1/((Overview!$L$3:$L$62&lt;=ROW()-2)*(Overview!$M$3:$M$62&gt;=ROW()-2)),Overview!$Z$3:$Z$62)&lt;&gt;""),LEFT(E43,LEN(E43)-LEN(I43))&amp;LOOKUP(2,1/((Overview!$L$3:$L$62&lt;=ROW()-2)*(Overview!$M$3:$M$62&gt;=ROW()-2)),Overview!$Z$3:$Z$62)&amp;" "&amp;I43,E43)&amp;IF(AND(Q43="",LOOKUP(2,1/((Overview!$L$3:$L$62&lt;=ROW()-2)*(Overview!$M$3:$M$62&gt;=ROW()-2)),Overview!$W$3:$W$62)=""),"",", "&amp;IF(Q43&lt;&gt;"",Q43,"")&amp;IF(AND(Q43&lt;&gt;"",LOOKUP(2,1/((Overview!$L$3:$L$62&lt;=ROW()-2)*(Overview!$M$3:$M$62&gt;=ROW()-2)),Overview!$W$3:$W$62)&lt;&gt;"")," ","")&amp;LOOKUP(2,1/((Overview!$L$3:$L$62&lt;=ROW()-2)*(Overview!$M$3:$M$62&gt;=ROW()-2)),Overview!$W$3:$W$62)))</f>
        <v>YPDA + heat, 1, 48h growth</v>
      </c>
      <c r="S43" t="str">
        <f t="shared" si="1"/>
        <v>Duplicate resolved by Set</v>
      </c>
      <c r="U43" s="10" t="str">
        <f>IF(A43="","",O43&amp;IF(LOOKUP(2,1/((Overview!$L$3:$L$62&lt;=ROW()-2)*(Overview!$M$3:$M$62&gt;=ROW()-2)),Overview!$T$3:$T$62)&lt;&gt;"","_"&amp;LOOKUP(2,1/((Overview!$L$3:$L$62&lt;=ROW()-2)*(Overview!$M$3:$M$62&gt;=ROW()-2)),Overview!$T$3:$T$62),"")&amp;IF(Q43&lt;&gt;"","_"&amp;Q43,"")&amp;IF(E43&lt;&gt;"","_"&amp;E43,"")&amp;LOOKUP(2,1/((Overview!$L$3:$L$62&lt;=ROW()-2)*(Overview!$M$3:$M$62&gt;=ROW()-2)),Overview!$X$3:$X$62))</f>
        <v>15.08.26_48h_YPDA + heat, 1.jpg</v>
      </c>
      <c r="V43">
        <f t="shared" si="2"/>
        <v>2</v>
      </c>
      <c r="W43" t="str">
        <f>IF(U43="","",O43&amp;IF(LOOKUP(2,1/((Overview!$L$3:$L$62&lt;=ROW()-2)*(Overview!$M$3:$M$62&gt;=ROW()-2)),Overview!$T$3:$T$62)&lt;&gt;"","_"&amp;LOOKUP(2,1/((Overview!$L$3:$L$62&lt;=ROW()-2)*(Overview!$M$3:$M$62&gt;=ROW()-2)),Overview!$T$3:$T$62),"")&amp;"_"&amp;IF(LEFT(LOWER(TRIM(F43)),3)="set",TRIM(F43),"Set"&amp;TRIM(F43))&amp;IF(Q43&lt;&gt;"","_"&amp;Q43,"")&amp;IF(E43&lt;&gt;"","_"&amp;E43,"")&amp;LOOKUP(2,1/((Overview!$L$3:$L$62&lt;=ROW()-2)*(Overview!$M$3:$M$62&gt;=ROW()-2)),Overview!$X$3:$X$62))</f>
        <v>15.08.26_SetB_48h_YPDA + heat, 1.jpg</v>
      </c>
      <c r="X43">
        <f t="shared" si="3"/>
        <v>1</v>
      </c>
    </row>
    <row r="44" spans="1:24" ht="13.9" thickBot="1">
      <c r="A44" s="5">
        <f>IF(ROW()-2&gt;SUMIFS(Overview!$K$3:$K$62,Overview!$N$3:$N$62,"OK"),"",LOOKUP(2,1/((Overview!$L$3:$L$62&lt;=ROW()-2)*(Overview!$M$3:$M$62&gt;=ROW()-2)),Overview!$R$3:$R$62))</f>
        <v>1</v>
      </c>
      <c r="B44" s="5" t="str">
        <f>IF(A44="","",LOOKUP(2,1/((Overview!$L$3:$L$62&lt;=ROW()-2)*(Overview!$M$3:$M$62&gt;=ROW()-2)),Overview!$O$3:$O$62))</f>
        <v>15.08.26_48h</v>
      </c>
      <c r="C44" s="5" t="str">
        <f>IF(A44="","",LOOKUP(2,1/((Overview!$L$3:$L$62&lt;=ROW()-2)*(Overview!$M$3:$M$62&gt;=ROW()-2)),Overview!$Y$3:$Y$62))</f>
        <v>E1_15.08.26_48h</v>
      </c>
      <c r="D44" s="32">
        <f>IF(A44="","",ROW()-2-LOOKUP(2,1/((Overview!$L$3:$L$62&lt;=ROW()-2)*(Overview!$M$3:$M$62&gt;=ROW()-2)),Overview!$L$3:$L$62)+1)</f>
        <v>18</v>
      </c>
      <c r="E44" s="30" t="str">
        <f>IF(A44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44" s="32" t="str">
        <f>IF(A44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4" s="113" t="str">
        <f>IF(A44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4" s="30" t="str">
        <f>IF(A44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44" s="30">
        <f>IF(A44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44" s="32" t="str">
        <f>IF(A44="","","image"&amp;D44&amp;LOOKUP(2,1/((Overview!$L$3:$L$62&lt;=ROW()-2)*(Overview!$M$3:$M$62&gt;=ROW()-2)),Overview!$X$3:$X$62))</f>
        <v>image18.jpg</v>
      </c>
      <c r="K44" s="113" t="str">
        <f t="shared" si="4"/>
        <v>E1_15.08.26_48h_I018</v>
      </c>
      <c r="L44" s="103" t="str">
        <f>IF(U44="","",IF(V44=1,U44,IF(X44=1,W44,LEFT(W44,LEN(W44)-LEN(LOOKUP(2,1/((Overview!$L$3:$L$62&lt;=ROW()-2)*(Overview!$M$3:$M$62&gt;=ROW()-2)),Overview!$X$3:$X$62)))&amp;IF(COUNTIF($W$3:W44,W44)=1,"","__"&amp;COUNTIF($W$3:W44,W44))&amp;LOOKUP(2,1/((Overview!$L$3:$L$62&lt;=ROW()-2)*(Overview!$M$3:$M$62&gt;=ROW()-2)),Overview!$X$3:$X$62))))</f>
        <v>15.08.26_SetB_48h_YPDA + heat, 2.jpg</v>
      </c>
      <c r="M44" s="5" t="str">
        <f>IF(A44="","",LOOKUP(2,1/((Overview!$L$3:$L$62&lt;=ROW()-2)*(Overview!$M$3:$M$62&gt;=ROW()-2)),Overview!$U$3:$U$62))</f>
        <v>Arrangement 1</v>
      </c>
      <c r="N44" s="5" t="str">
        <f>IF(A44="","",LOOKUP(2,1/((Overview!$L$3:$L$62&lt;=ROW()-2)*(Overview!$M$3:$M$62&gt;=ROW()-2)),Overview!$V$3:$V$62))</f>
        <v>annotationSet 1</v>
      </c>
      <c r="O44" s="5" t="str">
        <f>IF(A44="","",LOOKUP(2,1/((Overview!$L$3:$L$62&lt;=ROW()-2)*(Overview!$M$3:$M$62&gt;=ROW()-2)),Overview!$B$3:$B$62))</f>
        <v>15.08.26</v>
      </c>
      <c r="P44" s="14">
        <f>IF(A44="","",LOOKUP(2,1/((Overview!$L$3:$L$62&lt;=ROW()-2)*(Overview!$M$3:$M$62&gt;=ROW()-2)),Overview!$S$3:$S$62))</f>
        <v>46249</v>
      </c>
      <c r="Q44" s="5" t="str">
        <f>IF(A44="","",LOOKUP(2,1/((Overview!$L$3:$L$62&lt;=ROW()-2)*(Overview!$M$3:$M$62&gt;=ROW()-2)),Overview!$C$3:$C$62))</f>
        <v>48h</v>
      </c>
      <c r="R44" s="22" t="str">
        <f>IF(E44="","",IF(AND(I44&lt;&gt;"",LOOKUP(2,1/((Overview!$L$3:$L$62&lt;=ROW()-2)*(Overview!$M$3:$M$62&gt;=ROW()-2)),Overview!$Z$3:$Z$62)&lt;&gt;""),LEFT(E44,LEN(E44)-LEN(I44))&amp;LOOKUP(2,1/((Overview!$L$3:$L$62&lt;=ROW()-2)*(Overview!$M$3:$M$62&gt;=ROW()-2)),Overview!$Z$3:$Z$62)&amp;" "&amp;I44,E44)&amp;IF(AND(Q44="",LOOKUP(2,1/((Overview!$L$3:$L$62&lt;=ROW()-2)*(Overview!$M$3:$M$62&gt;=ROW()-2)),Overview!$W$3:$W$62)=""),"",", "&amp;IF(Q44&lt;&gt;"",Q44,"")&amp;IF(AND(Q44&lt;&gt;"",LOOKUP(2,1/((Overview!$L$3:$L$62&lt;=ROW()-2)*(Overview!$M$3:$M$62&gt;=ROW()-2)),Overview!$W$3:$W$62)&lt;&gt;"")," ","")&amp;LOOKUP(2,1/((Overview!$L$3:$L$62&lt;=ROW()-2)*(Overview!$M$3:$M$62&gt;=ROW()-2)),Overview!$W$3:$W$62)))</f>
        <v>YPDA + heat, 2, 48h growth</v>
      </c>
      <c r="S44" t="str">
        <f t="shared" si="1"/>
        <v>Duplicate resolved by Set</v>
      </c>
      <c r="U44" s="10" t="str">
        <f>IF(A44="","",O44&amp;IF(LOOKUP(2,1/((Overview!$L$3:$L$62&lt;=ROW()-2)*(Overview!$M$3:$M$62&gt;=ROW()-2)),Overview!$T$3:$T$62)&lt;&gt;"","_"&amp;LOOKUP(2,1/((Overview!$L$3:$L$62&lt;=ROW()-2)*(Overview!$M$3:$M$62&gt;=ROW()-2)),Overview!$T$3:$T$62),"")&amp;IF(Q44&lt;&gt;"","_"&amp;Q44,"")&amp;IF(E44&lt;&gt;"","_"&amp;E44,"")&amp;LOOKUP(2,1/((Overview!$L$3:$L$62&lt;=ROW()-2)*(Overview!$M$3:$M$62&gt;=ROW()-2)),Overview!$X$3:$X$62))</f>
        <v>15.08.26_48h_YPDA + heat, 2.jpg</v>
      </c>
      <c r="V44">
        <f t="shared" si="2"/>
        <v>2</v>
      </c>
      <c r="W44" t="str">
        <f>IF(U44="","",O44&amp;IF(LOOKUP(2,1/((Overview!$L$3:$L$62&lt;=ROW()-2)*(Overview!$M$3:$M$62&gt;=ROW()-2)),Overview!$T$3:$T$62)&lt;&gt;"","_"&amp;LOOKUP(2,1/((Overview!$L$3:$L$62&lt;=ROW()-2)*(Overview!$M$3:$M$62&gt;=ROW()-2)),Overview!$T$3:$T$62),"")&amp;"_"&amp;IF(LEFT(LOWER(TRIM(F44)),3)="set",TRIM(F44),"Set"&amp;TRIM(F44))&amp;IF(Q44&lt;&gt;"","_"&amp;Q44,"")&amp;IF(E44&lt;&gt;"","_"&amp;E44,"")&amp;LOOKUP(2,1/((Overview!$L$3:$L$62&lt;=ROW()-2)*(Overview!$M$3:$M$62&gt;=ROW()-2)),Overview!$X$3:$X$62))</f>
        <v>15.08.26_SetB_48h_YPDA + heat, 2.jpg</v>
      </c>
      <c r="X44">
        <f t="shared" si="3"/>
        <v>1</v>
      </c>
    </row>
    <row r="45" spans="1:24" ht="13.9" thickBot="1">
      <c r="A45" s="5">
        <f>IF(ROW()-2&gt;SUMIFS(Overview!$K$3:$K$62,Overview!$N$3:$N$62,"OK"),"",LOOKUP(2,1/((Overview!$L$3:$L$62&lt;=ROW()-2)*(Overview!$M$3:$M$62&gt;=ROW()-2)),Overview!$R$3:$R$62))</f>
        <v>1</v>
      </c>
      <c r="B45" s="5" t="str">
        <f>IF(A45="","",LOOKUP(2,1/((Overview!$L$3:$L$62&lt;=ROW()-2)*(Overview!$M$3:$M$62&gt;=ROW()-2)),Overview!$O$3:$O$62))</f>
        <v>15.08.26_48h</v>
      </c>
      <c r="C45" s="5" t="str">
        <f>IF(A45="","",LOOKUP(2,1/((Overview!$L$3:$L$62&lt;=ROW()-2)*(Overview!$M$3:$M$62&gt;=ROW()-2)),Overview!$Y$3:$Y$62))</f>
        <v>E1_15.08.26_48h</v>
      </c>
      <c r="D45" s="32">
        <f>IF(A45="","",ROW()-2-LOOKUP(2,1/((Overview!$L$3:$L$62&lt;=ROW()-2)*(Overview!$M$3:$M$62&gt;=ROW()-2)),Overview!$L$3:$L$62)+1)</f>
        <v>19</v>
      </c>
      <c r="E45" s="30" t="str">
        <f>IF(A45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45" s="32" t="str">
        <f>IF(A45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5" s="113" t="str">
        <f>IF(A45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5" s="30" t="str">
        <f>IF(A45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45" s="30">
        <f>IF(A45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45" s="32" t="str">
        <f>IF(A45="","","image"&amp;D45&amp;LOOKUP(2,1/((Overview!$L$3:$L$62&lt;=ROW()-2)*(Overview!$M$3:$M$62&gt;=ROW()-2)),Overview!$X$3:$X$62))</f>
        <v>image19.jpg</v>
      </c>
      <c r="K45" s="113" t="str">
        <f t="shared" si="4"/>
        <v>E1_15.08.26_48h_I019</v>
      </c>
      <c r="L45" s="103" t="str">
        <f>IF(U45="","",IF(V45=1,U45,IF(X45=1,W45,LEFT(W45,LEN(W45)-LEN(LOOKUP(2,1/((Overview!$L$3:$L$62&lt;=ROW()-2)*(Overview!$M$3:$M$62&gt;=ROW()-2)),Overview!$X$3:$X$62)))&amp;IF(COUNTIF($W$3:W45,W45)=1,"","__"&amp;COUNTIF($W$3:W45,W45))&amp;LOOKUP(2,1/((Overview!$L$3:$L$62&lt;=ROW()-2)*(Overview!$M$3:$M$62&gt;=ROW()-2)),Overview!$X$3:$X$62))))</f>
        <v>15.08.26_SetB_48h_YPDA + heat, 3.jpg</v>
      </c>
      <c r="M45" s="5" t="str">
        <f>IF(A45="","",LOOKUP(2,1/((Overview!$L$3:$L$62&lt;=ROW()-2)*(Overview!$M$3:$M$62&gt;=ROW()-2)),Overview!$U$3:$U$62))</f>
        <v>Arrangement 1</v>
      </c>
      <c r="N45" s="5" t="str">
        <f>IF(A45="","",LOOKUP(2,1/((Overview!$L$3:$L$62&lt;=ROW()-2)*(Overview!$M$3:$M$62&gt;=ROW()-2)),Overview!$V$3:$V$62))</f>
        <v>annotationSet 1</v>
      </c>
      <c r="O45" s="5" t="str">
        <f>IF(A45="","",LOOKUP(2,1/((Overview!$L$3:$L$62&lt;=ROW()-2)*(Overview!$M$3:$M$62&gt;=ROW()-2)),Overview!$B$3:$B$62))</f>
        <v>15.08.26</v>
      </c>
      <c r="P45" s="14">
        <f>IF(A45="","",LOOKUP(2,1/((Overview!$L$3:$L$62&lt;=ROW()-2)*(Overview!$M$3:$M$62&gt;=ROW()-2)),Overview!$S$3:$S$62))</f>
        <v>46249</v>
      </c>
      <c r="Q45" s="5" t="str">
        <f>IF(A45="","",LOOKUP(2,1/((Overview!$L$3:$L$62&lt;=ROW()-2)*(Overview!$M$3:$M$62&gt;=ROW()-2)),Overview!$C$3:$C$62))</f>
        <v>48h</v>
      </c>
      <c r="R45" s="22" t="str">
        <f>IF(E45="","",IF(AND(I45&lt;&gt;"",LOOKUP(2,1/((Overview!$L$3:$L$62&lt;=ROW()-2)*(Overview!$M$3:$M$62&gt;=ROW()-2)),Overview!$Z$3:$Z$62)&lt;&gt;""),LEFT(E45,LEN(E45)-LEN(I45))&amp;LOOKUP(2,1/((Overview!$L$3:$L$62&lt;=ROW()-2)*(Overview!$M$3:$M$62&gt;=ROW()-2)),Overview!$Z$3:$Z$62)&amp;" "&amp;I45,E45)&amp;IF(AND(Q45="",LOOKUP(2,1/((Overview!$L$3:$L$62&lt;=ROW()-2)*(Overview!$M$3:$M$62&gt;=ROW()-2)),Overview!$W$3:$W$62)=""),"",", "&amp;IF(Q45&lt;&gt;"",Q45,"")&amp;IF(AND(Q45&lt;&gt;"",LOOKUP(2,1/((Overview!$L$3:$L$62&lt;=ROW()-2)*(Overview!$M$3:$M$62&gt;=ROW()-2)),Overview!$W$3:$W$62)&lt;&gt;"")," ","")&amp;LOOKUP(2,1/((Overview!$L$3:$L$62&lt;=ROW()-2)*(Overview!$M$3:$M$62&gt;=ROW()-2)),Overview!$W$3:$W$62)))</f>
        <v>YPDA + heat, 3, 48h growth</v>
      </c>
      <c r="S45" t="str">
        <f t="shared" si="1"/>
        <v>Duplicate resolved by Set</v>
      </c>
      <c r="U45" s="10" t="str">
        <f>IF(A45="","",O45&amp;IF(LOOKUP(2,1/((Overview!$L$3:$L$62&lt;=ROW()-2)*(Overview!$M$3:$M$62&gt;=ROW()-2)),Overview!$T$3:$T$62)&lt;&gt;"","_"&amp;LOOKUP(2,1/((Overview!$L$3:$L$62&lt;=ROW()-2)*(Overview!$M$3:$M$62&gt;=ROW()-2)),Overview!$T$3:$T$62),"")&amp;IF(Q45&lt;&gt;"","_"&amp;Q45,"")&amp;IF(E45&lt;&gt;"","_"&amp;E45,"")&amp;LOOKUP(2,1/((Overview!$L$3:$L$62&lt;=ROW()-2)*(Overview!$M$3:$M$62&gt;=ROW()-2)),Overview!$X$3:$X$62))</f>
        <v>15.08.26_48h_YPDA + heat, 3.jpg</v>
      </c>
      <c r="V45">
        <f t="shared" si="2"/>
        <v>2</v>
      </c>
      <c r="W45" t="str">
        <f>IF(U45="","",O45&amp;IF(LOOKUP(2,1/((Overview!$L$3:$L$62&lt;=ROW()-2)*(Overview!$M$3:$M$62&gt;=ROW()-2)),Overview!$T$3:$T$62)&lt;&gt;"","_"&amp;LOOKUP(2,1/((Overview!$L$3:$L$62&lt;=ROW()-2)*(Overview!$M$3:$M$62&gt;=ROW()-2)),Overview!$T$3:$T$62),"")&amp;"_"&amp;IF(LEFT(LOWER(TRIM(F45)),3)="set",TRIM(F45),"Set"&amp;TRIM(F45))&amp;IF(Q45&lt;&gt;"","_"&amp;Q45,"")&amp;IF(E45&lt;&gt;"","_"&amp;E45,"")&amp;LOOKUP(2,1/((Overview!$L$3:$L$62&lt;=ROW()-2)*(Overview!$M$3:$M$62&gt;=ROW()-2)),Overview!$X$3:$X$62))</f>
        <v>15.08.26_SetB_48h_YPDA + heat, 3.jpg</v>
      </c>
      <c r="X45">
        <f t="shared" si="3"/>
        <v>1</v>
      </c>
    </row>
    <row r="46" spans="1:24" ht="13.9" thickBot="1">
      <c r="A46" s="5">
        <f>IF(ROW()-2&gt;SUMIFS(Overview!$K$3:$K$62,Overview!$N$3:$N$62,"OK"),"",LOOKUP(2,1/((Overview!$L$3:$L$62&lt;=ROW()-2)*(Overview!$M$3:$M$62&gt;=ROW()-2)),Overview!$R$3:$R$62))</f>
        <v>1</v>
      </c>
      <c r="B46" s="5" t="str">
        <f>IF(A46="","",LOOKUP(2,1/((Overview!$L$3:$L$62&lt;=ROW()-2)*(Overview!$M$3:$M$62&gt;=ROW()-2)),Overview!$O$3:$O$62))</f>
        <v>15.08.26_48h</v>
      </c>
      <c r="C46" s="5" t="str">
        <f>IF(A46="","",LOOKUP(2,1/((Overview!$L$3:$L$62&lt;=ROW()-2)*(Overview!$M$3:$M$62&gt;=ROW()-2)),Overview!$Y$3:$Y$62))</f>
        <v>E1_15.08.26_48h</v>
      </c>
      <c r="D46" s="32">
        <f>IF(A46="","",ROW()-2-LOOKUP(2,1/((Overview!$L$3:$L$62&lt;=ROW()-2)*(Overview!$M$3:$M$62&gt;=ROW()-2)),Overview!$L$3:$L$62)+1)</f>
        <v>20</v>
      </c>
      <c r="E46" s="30" t="str">
        <f>IF(A46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46" s="32" t="str">
        <f>IF(A46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6" s="113" t="str">
        <f>IF(A46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6" s="30" t="str">
        <f>IF(A46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46" s="30">
        <f>IF(A46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46" s="32" t="str">
        <f>IF(A46="","","image"&amp;D46&amp;LOOKUP(2,1/((Overview!$L$3:$L$62&lt;=ROW()-2)*(Overview!$M$3:$M$62&gt;=ROW()-2)),Overview!$X$3:$X$62))</f>
        <v>image20.jpg</v>
      </c>
      <c r="K46" s="113" t="str">
        <f t="shared" si="4"/>
        <v>E1_15.08.26_48h_I020</v>
      </c>
      <c r="L46" s="103" t="str">
        <f>IF(U46="","",IF(V46=1,U46,IF(X46=1,W46,LEFT(W46,LEN(W46)-LEN(LOOKUP(2,1/((Overview!$L$3:$L$62&lt;=ROW()-2)*(Overview!$M$3:$M$62&gt;=ROW()-2)),Overview!$X$3:$X$62)))&amp;IF(COUNTIF($W$3:W46,W46)=1,"","__"&amp;COUNTIF($W$3:W46,W46))&amp;LOOKUP(2,1/((Overview!$L$3:$L$62&lt;=ROW()-2)*(Overview!$M$3:$M$62&gt;=ROW()-2)),Overview!$X$3:$X$62))))</f>
        <v>15.08.26_SetB_48h_YPDA + heat, 4.jpg</v>
      </c>
      <c r="M46" s="5" t="str">
        <f>IF(A46="","",LOOKUP(2,1/((Overview!$L$3:$L$62&lt;=ROW()-2)*(Overview!$M$3:$M$62&gt;=ROW()-2)),Overview!$U$3:$U$62))</f>
        <v>Arrangement 1</v>
      </c>
      <c r="N46" s="5" t="str">
        <f>IF(A46="","",LOOKUP(2,1/((Overview!$L$3:$L$62&lt;=ROW()-2)*(Overview!$M$3:$M$62&gt;=ROW()-2)),Overview!$V$3:$V$62))</f>
        <v>annotationSet 1</v>
      </c>
      <c r="O46" s="5" t="str">
        <f>IF(A46="","",LOOKUP(2,1/((Overview!$L$3:$L$62&lt;=ROW()-2)*(Overview!$M$3:$M$62&gt;=ROW()-2)),Overview!$B$3:$B$62))</f>
        <v>15.08.26</v>
      </c>
      <c r="P46" s="14">
        <f>IF(A46="","",LOOKUP(2,1/((Overview!$L$3:$L$62&lt;=ROW()-2)*(Overview!$M$3:$M$62&gt;=ROW()-2)),Overview!$S$3:$S$62))</f>
        <v>46249</v>
      </c>
      <c r="Q46" s="5" t="str">
        <f>IF(A46="","",LOOKUP(2,1/((Overview!$L$3:$L$62&lt;=ROW()-2)*(Overview!$M$3:$M$62&gt;=ROW()-2)),Overview!$C$3:$C$62))</f>
        <v>48h</v>
      </c>
      <c r="R46" s="22" t="str">
        <f>IF(E46="","",IF(AND(I46&lt;&gt;"",LOOKUP(2,1/((Overview!$L$3:$L$62&lt;=ROW()-2)*(Overview!$M$3:$M$62&gt;=ROW()-2)),Overview!$Z$3:$Z$62)&lt;&gt;""),LEFT(E46,LEN(E46)-LEN(I46))&amp;LOOKUP(2,1/((Overview!$L$3:$L$62&lt;=ROW()-2)*(Overview!$M$3:$M$62&gt;=ROW()-2)),Overview!$Z$3:$Z$62)&amp;" "&amp;I46,E46)&amp;IF(AND(Q46="",LOOKUP(2,1/((Overview!$L$3:$L$62&lt;=ROW()-2)*(Overview!$M$3:$M$62&gt;=ROW()-2)),Overview!$W$3:$W$62)=""),"",", "&amp;IF(Q46&lt;&gt;"",Q46,"")&amp;IF(AND(Q46&lt;&gt;"",LOOKUP(2,1/((Overview!$L$3:$L$62&lt;=ROW()-2)*(Overview!$M$3:$M$62&gt;=ROW()-2)),Overview!$W$3:$W$62)&lt;&gt;"")," ","")&amp;LOOKUP(2,1/((Overview!$L$3:$L$62&lt;=ROW()-2)*(Overview!$M$3:$M$62&gt;=ROW()-2)),Overview!$W$3:$W$62)))</f>
        <v>YPDA + heat, 4, 48h growth</v>
      </c>
      <c r="S46" t="str">
        <f t="shared" si="1"/>
        <v>Duplicate resolved by Set</v>
      </c>
      <c r="U46" s="10" t="str">
        <f>IF(A46="","",O46&amp;IF(LOOKUP(2,1/((Overview!$L$3:$L$62&lt;=ROW()-2)*(Overview!$M$3:$M$62&gt;=ROW()-2)),Overview!$T$3:$T$62)&lt;&gt;"","_"&amp;LOOKUP(2,1/((Overview!$L$3:$L$62&lt;=ROW()-2)*(Overview!$M$3:$M$62&gt;=ROW()-2)),Overview!$T$3:$T$62),"")&amp;IF(Q46&lt;&gt;"","_"&amp;Q46,"")&amp;IF(E46&lt;&gt;"","_"&amp;E46,"")&amp;LOOKUP(2,1/((Overview!$L$3:$L$62&lt;=ROW()-2)*(Overview!$M$3:$M$62&gt;=ROW()-2)),Overview!$X$3:$X$62))</f>
        <v>15.08.26_48h_YPDA + heat, 4.jpg</v>
      </c>
      <c r="V46">
        <f t="shared" si="2"/>
        <v>2</v>
      </c>
      <c r="W46" t="str">
        <f>IF(U46="","",O46&amp;IF(LOOKUP(2,1/((Overview!$L$3:$L$62&lt;=ROW()-2)*(Overview!$M$3:$M$62&gt;=ROW()-2)),Overview!$T$3:$T$62)&lt;&gt;"","_"&amp;LOOKUP(2,1/((Overview!$L$3:$L$62&lt;=ROW()-2)*(Overview!$M$3:$M$62&gt;=ROW()-2)),Overview!$T$3:$T$62),"")&amp;"_"&amp;IF(LEFT(LOWER(TRIM(F46)),3)="set",TRIM(F46),"Set"&amp;TRIM(F46))&amp;IF(Q46&lt;&gt;"","_"&amp;Q46,"")&amp;IF(E46&lt;&gt;"","_"&amp;E46,"")&amp;LOOKUP(2,1/((Overview!$L$3:$L$62&lt;=ROW()-2)*(Overview!$M$3:$M$62&gt;=ROW()-2)),Overview!$X$3:$X$62))</f>
        <v>15.08.26_SetB_48h_YPDA + heat, 4.jpg</v>
      </c>
      <c r="X46">
        <f t="shared" si="3"/>
        <v>1</v>
      </c>
    </row>
    <row r="47" spans="1:24" ht="13.9" thickBot="1">
      <c r="A47" s="5">
        <f>IF(ROW()-2&gt;SUMIFS(Overview!$K$3:$K$62,Overview!$N$3:$N$62,"OK"),"",LOOKUP(2,1/((Overview!$L$3:$L$62&lt;=ROW()-2)*(Overview!$M$3:$M$62&gt;=ROW()-2)),Overview!$R$3:$R$62))</f>
        <v>1</v>
      </c>
      <c r="B47" s="5" t="str">
        <f>IF(A47="","",LOOKUP(2,1/((Overview!$L$3:$L$62&lt;=ROW()-2)*(Overview!$M$3:$M$62&gt;=ROW()-2)),Overview!$O$3:$O$62))</f>
        <v>15.08.26_48h</v>
      </c>
      <c r="C47" s="5" t="str">
        <f>IF(A47="","",LOOKUP(2,1/((Overview!$L$3:$L$62&lt;=ROW()-2)*(Overview!$M$3:$M$62&gt;=ROW()-2)),Overview!$Y$3:$Y$62))</f>
        <v>E1_15.08.26_48h</v>
      </c>
      <c r="D47" s="32">
        <f>IF(A47="","",ROW()-2-LOOKUP(2,1/((Overview!$L$3:$L$62&lt;=ROW()-2)*(Overview!$M$3:$M$62&gt;=ROW()-2)),Overview!$L$3:$L$62)+1)</f>
        <v>21</v>
      </c>
      <c r="E47" s="31" t="str">
        <f>IF(A47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47" s="32" t="str">
        <f>IF(A47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7" s="113" t="str">
        <f>IF(A47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7" s="31" t="str">
        <f>IF(A47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47" s="31">
        <f>IF(A47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47" s="32" t="str">
        <f>IF(A47="","","image"&amp;D47&amp;LOOKUP(2,1/((Overview!$L$3:$L$62&lt;=ROW()-2)*(Overview!$M$3:$M$62&gt;=ROW()-2)),Overview!$X$3:$X$62))</f>
        <v>image21.jpg</v>
      </c>
      <c r="K47" s="113" t="str">
        <f t="shared" si="4"/>
        <v>E1_15.08.26_48h_I021</v>
      </c>
      <c r="L47" s="103" t="str">
        <f>IF(U47="","",IF(V47=1,U47,IF(X47=1,W47,LEFT(W47,LEN(W47)-LEN(LOOKUP(2,1/((Overview!$L$3:$L$62&lt;=ROW()-2)*(Overview!$M$3:$M$62&gt;=ROW()-2)),Overview!$X$3:$X$62)))&amp;IF(COUNTIF($W$3:W47,W47)=1,"","__"&amp;COUNTIF($W$3:W47,W47))&amp;LOOKUP(2,1/((Overview!$L$3:$L$62&lt;=ROW()-2)*(Overview!$M$3:$M$62&gt;=ROW()-2)),Overview!$X$3:$X$62))))</f>
        <v>15.08.26_SetB_48h_YPDA + salt, 1.jpg</v>
      </c>
      <c r="M47" s="5" t="str">
        <f>IF(A47="","",LOOKUP(2,1/((Overview!$L$3:$L$62&lt;=ROW()-2)*(Overview!$M$3:$M$62&gt;=ROW()-2)),Overview!$U$3:$U$62))</f>
        <v>Arrangement 1</v>
      </c>
      <c r="N47" s="5" t="str">
        <f>IF(A47="","",LOOKUP(2,1/((Overview!$L$3:$L$62&lt;=ROW()-2)*(Overview!$M$3:$M$62&gt;=ROW()-2)),Overview!$V$3:$V$62))</f>
        <v>annotationSet 1</v>
      </c>
      <c r="O47" s="5" t="str">
        <f>IF(A47="","",LOOKUP(2,1/((Overview!$L$3:$L$62&lt;=ROW()-2)*(Overview!$M$3:$M$62&gt;=ROW()-2)),Overview!$B$3:$B$62))</f>
        <v>15.08.26</v>
      </c>
      <c r="P47" s="14">
        <f>IF(A47="","",LOOKUP(2,1/((Overview!$L$3:$L$62&lt;=ROW()-2)*(Overview!$M$3:$M$62&gt;=ROW()-2)),Overview!$S$3:$S$62))</f>
        <v>46249</v>
      </c>
      <c r="Q47" s="5" t="str">
        <f>IF(A47="","",LOOKUP(2,1/((Overview!$L$3:$L$62&lt;=ROW()-2)*(Overview!$M$3:$M$62&gt;=ROW()-2)),Overview!$C$3:$C$62))</f>
        <v>48h</v>
      </c>
      <c r="R47" s="22" t="str">
        <f>IF(E47="","",IF(AND(I47&lt;&gt;"",LOOKUP(2,1/((Overview!$L$3:$L$62&lt;=ROW()-2)*(Overview!$M$3:$M$62&gt;=ROW()-2)),Overview!$Z$3:$Z$62)&lt;&gt;""),LEFT(E47,LEN(E47)-LEN(I47))&amp;LOOKUP(2,1/((Overview!$L$3:$L$62&lt;=ROW()-2)*(Overview!$M$3:$M$62&gt;=ROW()-2)),Overview!$Z$3:$Z$62)&amp;" "&amp;I47,E47)&amp;IF(AND(Q47="",LOOKUP(2,1/((Overview!$L$3:$L$62&lt;=ROW()-2)*(Overview!$M$3:$M$62&gt;=ROW()-2)),Overview!$W$3:$W$62)=""),"",", "&amp;IF(Q47&lt;&gt;"",Q47,"")&amp;IF(AND(Q47&lt;&gt;"",LOOKUP(2,1/((Overview!$L$3:$L$62&lt;=ROW()-2)*(Overview!$M$3:$M$62&gt;=ROW()-2)),Overview!$W$3:$W$62)&lt;&gt;"")," ","")&amp;LOOKUP(2,1/((Overview!$L$3:$L$62&lt;=ROW()-2)*(Overview!$M$3:$M$62&gt;=ROW()-2)),Overview!$W$3:$W$62)))</f>
        <v>YPDA + salt, 1, 48h growth</v>
      </c>
      <c r="S47" t="str">
        <f t="shared" si="1"/>
        <v>Duplicate resolved by Set</v>
      </c>
      <c r="U47" s="10" t="str">
        <f>IF(A47="","",O47&amp;IF(LOOKUP(2,1/((Overview!$L$3:$L$62&lt;=ROW()-2)*(Overview!$M$3:$M$62&gt;=ROW()-2)),Overview!$T$3:$T$62)&lt;&gt;"","_"&amp;LOOKUP(2,1/((Overview!$L$3:$L$62&lt;=ROW()-2)*(Overview!$M$3:$M$62&gt;=ROW()-2)),Overview!$T$3:$T$62),"")&amp;IF(Q47&lt;&gt;"","_"&amp;Q47,"")&amp;IF(E47&lt;&gt;"","_"&amp;E47,"")&amp;LOOKUP(2,1/((Overview!$L$3:$L$62&lt;=ROW()-2)*(Overview!$M$3:$M$62&gt;=ROW()-2)),Overview!$X$3:$X$62))</f>
        <v>15.08.26_48h_YPDA + salt, 1.jpg</v>
      </c>
      <c r="V47">
        <f t="shared" si="2"/>
        <v>2</v>
      </c>
      <c r="W47" t="str">
        <f>IF(U47="","",O47&amp;IF(LOOKUP(2,1/((Overview!$L$3:$L$62&lt;=ROW()-2)*(Overview!$M$3:$M$62&gt;=ROW()-2)),Overview!$T$3:$T$62)&lt;&gt;"","_"&amp;LOOKUP(2,1/((Overview!$L$3:$L$62&lt;=ROW()-2)*(Overview!$M$3:$M$62&gt;=ROW()-2)),Overview!$T$3:$T$62),"")&amp;"_"&amp;IF(LEFT(LOWER(TRIM(F47)),3)="set",TRIM(F47),"Set"&amp;TRIM(F47))&amp;IF(Q47&lt;&gt;"","_"&amp;Q47,"")&amp;IF(E47&lt;&gt;"","_"&amp;E47,"")&amp;LOOKUP(2,1/((Overview!$L$3:$L$62&lt;=ROW()-2)*(Overview!$M$3:$M$62&gt;=ROW()-2)),Overview!$X$3:$X$62))</f>
        <v>15.08.26_SetB_48h_YPDA + salt, 1.jpg</v>
      </c>
      <c r="X47">
        <f t="shared" si="3"/>
        <v>1</v>
      </c>
    </row>
    <row r="48" spans="1:24" ht="13.9" thickBot="1">
      <c r="A48" s="5">
        <f>IF(ROW()-2&gt;SUMIFS(Overview!$K$3:$K$62,Overview!$N$3:$N$62,"OK"),"",LOOKUP(2,1/((Overview!$L$3:$L$62&lt;=ROW()-2)*(Overview!$M$3:$M$62&gt;=ROW()-2)),Overview!$R$3:$R$62))</f>
        <v>1</v>
      </c>
      <c r="B48" s="5" t="str">
        <f>IF(A48="","",LOOKUP(2,1/((Overview!$L$3:$L$62&lt;=ROW()-2)*(Overview!$M$3:$M$62&gt;=ROW()-2)),Overview!$O$3:$O$62))</f>
        <v>15.08.26_48h</v>
      </c>
      <c r="C48" s="5" t="str">
        <f>IF(A48="","",LOOKUP(2,1/((Overview!$L$3:$L$62&lt;=ROW()-2)*(Overview!$M$3:$M$62&gt;=ROW()-2)),Overview!$Y$3:$Y$62))</f>
        <v>E1_15.08.26_48h</v>
      </c>
      <c r="D48" s="32">
        <f>IF(A48="","",ROW()-2-LOOKUP(2,1/((Overview!$L$3:$L$62&lt;=ROW()-2)*(Overview!$M$3:$M$62&gt;=ROW()-2)),Overview!$L$3:$L$62)+1)</f>
        <v>22</v>
      </c>
      <c r="E48" s="31" t="str">
        <f>IF(A48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48" s="32" t="str">
        <f>IF(A48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8" s="113" t="str">
        <f>IF(A48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8" s="31" t="str">
        <f>IF(A48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48" s="31">
        <f>IF(A48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48" s="32" t="str">
        <f>IF(A48="","","image"&amp;D48&amp;LOOKUP(2,1/((Overview!$L$3:$L$62&lt;=ROW()-2)*(Overview!$M$3:$M$62&gt;=ROW()-2)),Overview!$X$3:$X$62))</f>
        <v>image22.jpg</v>
      </c>
      <c r="K48" s="113" t="str">
        <f t="shared" si="4"/>
        <v>E1_15.08.26_48h_I022</v>
      </c>
      <c r="L48" s="103" t="str">
        <f>IF(U48="","",IF(V48=1,U48,IF(X48=1,W48,LEFT(W48,LEN(W48)-LEN(LOOKUP(2,1/((Overview!$L$3:$L$62&lt;=ROW()-2)*(Overview!$M$3:$M$62&gt;=ROW()-2)),Overview!$X$3:$X$62)))&amp;IF(COUNTIF($W$3:W48,W48)=1,"","__"&amp;COUNTIF($W$3:W48,W48))&amp;LOOKUP(2,1/((Overview!$L$3:$L$62&lt;=ROW()-2)*(Overview!$M$3:$M$62&gt;=ROW()-2)),Overview!$X$3:$X$62))))</f>
        <v>15.08.26_SetB_48h_YPDA + salt, 2.jpg</v>
      </c>
      <c r="M48" s="5" t="str">
        <f>IF(A48="","",LOOKUP(2,1/((Overview!$L$3:$L$62&lt;=ROW()-2)*(Overview!$M$3:$M$62&gt;=ROW()-2)),Overview!$U$3:$U$62))</f>
        <v>Arrangement 1</v>
      </c>
      <c r="N48" s="5" t="str">
        <f>IF(A48="","",LOOKUP(2,1/((Overview!$L$3:$L$62&lt;=ROW()-2)*(Overview!$M$3:$M$62&gt;=ROW()-2)),Overview!$V$3:$V$62))</f>
        <v>annotationSet 1</v>
      </c>
      <c r="O48" s="5" t="str">
        <f>IF(A48="","",LOOKUP(2,1/((Overview!$L$3:$L$62&lt;=ROW()-2)*(Overview!$M$3:$M$62&gt;=ROW()-2)),Overview!$B$3:$B$62))</f>
        <v>15.08.26</v>
      </c>
      <c r="P48" s="14">
        <f>IF(A48="","",LOOKUP(2,1/((Overview!$L$3:$L$62&lt;=ROW()-2)*(Overview!$M$3:$M$62&gt;=ROW()-2)),Overview!$S$3:$S$62))</f>
        <v>46249</v>
      </c>
      <c r="Q48" s="5" t="str">
        <f>IF(A48="","",LOOKUP(2,1/((Overview!$L$3:$L$62&lt;=ROW()-2)*(Overview!$M$3:$M$62&gt;=ROW()-2)),Overview!$C$3:$C$62))</f>
        <v>48h</v>
      </c>
      <c r="R48" s="22" t="str">
        <f>IF(E48="","",IF(AND(I48&lt;&gt;"",LOOKUP(2,1/((Overview!$L$3:$L$62&lt;=ROW()-2)*(Overview!$M$3:$M$62&gt;=ROW()-2)),Overview!$Z$3:$Z$62)&lt;&gt;""),LEFT(E48,LEN(E48)-LEN(I48))&amp;LOOKUP(2,1/((Overview!$L$3:$L$62&lt;=ROW()-2)*(Overview!$M$3:$M$62&gt;=ROW()-2)),Overview!$Z$3:$Z$62)&amp;" "&amp;I48,E48)&amp;IF(AND(Q48="",LOOKUP(2,1/((Overview!$L$3:$L$62&lt;=ROW()-2)*(Overview!$M$3:$M$62&gt;=ROW()-2)),Overview!$W$3:$W$62)=""),"",", "&amp;IF(Q48&lt;&gt;"",Q48,"")&amp;IF(AND(Q48&lt;&gt;"",LOOKUP(2,1/((Overview!$L$3:$L$62&lt;=ROW()-2)*(Overview!$M$3:$M$62&gt;=ROW()-2)),Overview!$W$3:$W$62)&lt;&gt;"")," ","")&amp;LOOKUP(2,1/((Overview!$L$3:$L$62&lt;=ROW()-2)*(Overview!$M$3:$M$62&gt;=ROW()-2)),Overview!$W$3:$W$62)))</f>
        <v>YPDA + salt, 2, 48h growth</v>
      </c>
      <c r="S48" t="str">
        <f t="shared" si="1"/>
        <v>Duplicate resolved by Set</v>
      </c>
      <c r="U48" s="10" t="str">
        <f>IF(A48="","",O48&amp;IF(LOOKUP(2,1/((Overview!$L$3:$L$62&lt;=ROW()-2)*(Overview!$M$3:$M$62&gt;=ROW()-2)),Overview!$T$3:$T$62)&lt;&gt;"","_"&amp;LOOKUP(2,1/((Overview!$L$3:$L$62&lt;=ROW()-2)*(Overview!$M$3:$M$62&gt;=ROW()-2)),Overview!$T$3:$T$62),"")&amp;IF(Q48&lt;&gt;"","_"&amp;Q48,"")&amp;IF(E48&lt;&gt;"","_"&amp;E48,"")&amp;LOOKUP(2,1/((Overview!$L$3:$L$62&lt;=ROW()-2)*(Overview!$M$3:$M$62&gt;=ROW()-2)),Overview!$X$3:$X$62))</f>
        <v>15.08.26_48h_YPDA + salt, 2.jpg</v>
      </c>
      <c r="V48">
        <f t="shared" si="2"/>
        <v>2</v>
      </c>
      <c r="W48" t="str">
        <f>IF(U48="","",O48&amp;IF(LOOKUP(2,1/((Overview!$L$3:$L$62&lt;=ROW()-2)*(Overview!$M$3:$M$62&gt;=ROW()-2)),Overview!$T$3:$T$62)&lt;&gt;"","_"&amp;LOOKUP(2,1/((Overview!$L$3:$L$62&lt;=ROW()-2)*(Overview!$M$3:$M$62&gt;=ROW()-2)),Overview!$T$3:$T$62),"")&amp;"_"&amp;IF(LEFT(LOWER(TRIM(F48)),3)="set",TRIM(F48),"Set"&amp;TRIM(F48))&amp;IF(Q48&lt;&gt;"","_"&amp;Q48,"")&amp;IF(E48&lt;&gt;"","_"&amp;E48,"")&amp;LOOKUP(2,1/((Overview!$L$3:$L$62&lt;=ROW()-2)*(Overview!$M$3:$M$62&gt;=ROW()-2)),Overview!$X$3:$X$62))</f>
        <v>15.08.26_SetB_48h_YPDA + salt, 2.jpg</v>
      </c>
      <c r="X48">
        <f t="shared" si="3"/>
        <v>1</v>
      </c>
    </row>
    <row r="49" spans="1:24" ht="13.9" thickBot="1">
      <c r="A49" s="5">
        <f>IF(ROW()-2&gt;SUMIFS(Overview!$K$3:$K$62,Overview!$N$3:$N$62,"OK"),"",LOOKUP(2,1/((Overview!$L$3:$L$62&lt;=ROW()-2)*(Overview!$M$3:$M$62&gt;=ROW()-2)),Overview!$R$3:$R$62))</f>
        <v>1</v>
      </c>
      <c r="B49" s="5" t="str">
        <f>IF(A49="","",LOOKUP(2,1/((Overview!$L$3:$L$62&lt;=ROW()-2)*(Overview!$M$3:$M$62&gt;=ROW()-2)),Overview!$O$3:$O$62))</f>
        <v>15.08.26_48h</v>
      </c>
      <c r="C49" s="5" t="str">
        <f>IF(A49="","",LOOKUP(2,1/((Overview!$L$3:$L$62&lt;=ROW()-2)*(Overview!$M$3:$M$62&gt;=ROW()-2)),Overview!$Y$3:$Y$62))</f>
        <v>E1_15.08.26_48h</v>
      </c>
      <c r="D49" s="32">
        <f>IF(A49="","",ROW()-2-LOOKUP(2,1/((Overview!$L$3:$L$62&lt;=ROW()-2)*(Overview!$M$3:$M$62&gt;=ROW()-2)),Overview!$L$3:$L$62)+1)</f>
        <v>23</v>
      </c>
      <c r="E49" s="31" t="str">
        <f>IF(A49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49" s="32" t="str">
        <f>IF(A49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49" s="113" t="str">
        <f>IF(A49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49" s="31" t="str">
        <f>IF(A49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49" s="31">
        <f>IF(A49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49" s="32" t="str">
        <f>IF(A49="","","image"&amp;D49&amp;LOOKUP(2,1/((Overview!$L$3:$L$62&lt;=ROW()-2)*(Overview!$M$3:$M$62&gt;=ROW()-2)),Overview!$X$3:$X$62))</f>
        <v>image23.jpg</v>
      </c>
      <c r="K49" s="113" t="str">
        <f t="shared" si="4"/>
        <v>E1_15.08.26_48h_I023</v>
      </c>
      <c r="L49" s="103" t="str">
        <f>IF(U49="","",IF(V49=1,U49,IF(X49=1,W49,LEFT(W49,LEN(W49)-LEN(LOOKUP(2,1/((Overview!$L$3:$L$62&lt;=ROW()-2)*(Overview!$M$3:$M$62&gt;=ROW()-2)),Overview!$X$3:$X$62)))&amp;IF(COUNTIF($W$3:W49,W49)=1,"","__"&amp;COUNTIF($W$3:W49,W49))&amp;LOOKUP(2,1/((Overview!$L$3:$L$62&lt;=ROW()-2)*(Overview!$M$3:$M$62&gt;=ROW()-2)),Overview!$X$3:$X$62))))</f>
        <v>15.08.26_SetB_48h_YPDA + salt, 3.jpg</v>
      </c>
      <c r="M49" s="5" t="str">
        <f>IF(A49="","",LOOKUP(2,1/((Overview!$L$3:$L$62&lt;=ROW()-2)*(Overview!$M$3:$M$62&gt;=ROW()-2)),Overview!$U$3:$U$62))</f>
        <v>Arrangement 1</v>
      </c>
      <c r="N49" s="5" t="str">
        <f>IF(A49="","",LOOKUP(2,1/((Overview!$L$3:$L$62&lt;=ROW()-2)*(Overview!$M$3:$M$62&gt;=ROW()-2)),Overview!$V$3:$V$62))</f>
        <v>annotationSet 1</v>
      </c>
      <c r="O49" s="5" t="str">
        <f>IF(A49="","",LOOKUP(2,1/((Overview!$L$3:$L$62&lt;=ROW()-2)*(Overview!$M$3:$M$62&gt;=ROW()-2)),Overview!$B$3:$B$62))</f>
        <v>15.08.26</v>
      </c>
      <c r="P49" s="14">
        <f>IF(A49="","",LOOKUP(2,1/((Overview!$L$3:$L$62&lt;=ROW()-2)*(Overview!$M$3:$M$62&gt;=ROW()-2)),Overview!$S$3:$S$62))</f>
        <v>46249</v>
      </c>
      <c r="Q49" s="5" t="str">
        <f>IF(A49="","",LOOKUP(2,1/((Overview!$L$3:$L$62&lt;=ROW()-2)*(Overview!$M$3:$M$62&gt;=ROW()-2)),Overview!$C$3:$C$62))</f>
        <v>48h</v>
      </c>
      <c r="R49" s="22" t="str">
        <f>IF(E49="","",IF(AND(I49&lt;&gt;"",LOOKUP(2,1/((Overview!$L$3:$L$62&lt;=ROW()-2)*(Overview!$M$3:$M$62&gt;=ROW()-2)),Overview!$Z$3:$Z$62)&lt;&gt;""),LEFT(E49,LEN(E49)-LEN(I49))&amp;LOOKUP(2,1/((Overview!$L$3:$L$62&lt;=ROW()-2)*(Overview!$M$3:$M$62&gt;=ROW()-2)),Overview!$Z$3:$Z$62)&amp;" "&amp;I49,E49)&amp;IF(AND(Q49="",LOOKUP(2,1/((Overview!$L$3:$L$62&lt;=ROW()-2)*(Overview!$M$3:$M$62&gt;=ROW()-2)),Overview!$W$3:$W$62)=""),"",", "&amp;IF(Q49&lt;&gt;"",Q49,"")&amp;IF(AND(Q49&lt;&gt;"",LOOKUP(2,1/((Overview!$L$3:$L$62&lt;=ROW()-2)*(Overview!$M$3:$M$62&gt;=ROW()-2)),Overview!$W$3:$W$62)&lt;&gt;"")," ","")&amp;LOOKUP(2,1/((Overview!$L$3:$L$62&lt;=ROW()-2)*(Overview!$M$3:$M$62&gt;=ROW()-2)),Overview!$W$3:$W$62)))</f>
        <v>YPDA + salt, 3, 48h growth</v>
      </c>
      <c r="S49" t="str">
        <f t="shared" si="1"/>
        <v>Duplicate resolved by Set</v>
      </c>
      <c r="U49" s="10" t="str">
        <f>IF(A49="","",O49&amp;IF(LOOKUP(2,1/((Overview!$L$3:$L$62&lt;=ROW()-2)*(Overview!$M$3:$M$62&gt;=ROW()-2)),Overview!$T$3:$T$62)&lt;&gt;"","_"&amp;LOOKUP(2,1/((Overview!$L$3:$L$62&lt;=ROW()-2)*(Overview!$M$3:$M$62&gt;=ROW()-2)),Overview!$T$3:$T$62),"")&amp;IF(Q49&lt;&gt;"","_"&amp;Q49,"")&amp;IF(E49&lt;&gt;"","_"&amp;E49,"")&amp;LOOKUP(2,1/((Overview!$L$3:$L$62&lt;=ROW()-2)*(Overview!$M$3:$M$62&gt;=ROW()-2)),Overview!$X$3:$X$62))</f>
        <v>15.08.26_48h_YPDA + salt, 3.jpg</v>
      </c>
      <c r="V49">
        <f t="shared" si="2"/>
        <v>2</v>
      </c>
      <c r="W49" t="str">
        <f>IF(U49="","",O49&amp;IF(LOOKUP(2,1/((Overview!$L$3:$L$62&lt;=ROW()-2)*(Overview!$M$3:$M$62&gt;=ROW()-2)),Overview!$T$3:$T$62)&lt;&gt;"","_"&amp;LOOKUP(2,1/((Overview!$L$3:$L$62&lt;=ROW()-2)*(Overview!$M$3:$M$62&gt;=ROW()-2)),Overview!$T$3:$T$62),"")&amp;"_"&amp;IF(LEFT(LOWER(TRIM(F49)),3)="set",TRIM(F49),"Set"&amp;TRIM(F49))&amp;IF(Q49&lt;&gt;"","_"&amp;Q49,"")&amp;IF(E49&lt;&gt;"","_"&amp;E49,"")&amp;LOOKUP(2,1/((Overview!$L$3:$L$62&lt;=ROW()-2)*(Overview!$M$3:$M$62&gt;=ROW()-2)),Overview!$X$3:$X$62))</f>
        <v>15.08.26_SetB_48h_YPDA + salt, 3.jpg</v>
      </c>
      <c r="X49">
        <f t="shared" si="3"/>
        <v>1</v>
      </c>
    </row>
    <row r="50" spans="1:24" ht="13.9" thickBot="1">
      <c r="A50" s="35">
        <f>IF(ROW()-2&gt;SUMIFS(Overview!$K$3:$K$62,Overview!$N$3:$N$62,"OK"),"",LOOKUP(2,1/((Overview!$L$3:$L$62&lt;=ROW()-2)*(Overview!$M$3:$M$62&gt;=ROW()-2)),Overview!$R$3:$R$62))</f>
        <v>1</v>
      </c>
      <c r="B50" s="35" t="str">
        <f>IF(A50="","",LOOKUP(2,1/((Overview!$L$3:$L$62&lt;=ROW()-2)*(Overview!$M$3:$M$62&gt;=ROW()-2)),Overview!$O$3:$O$62))</f>
        <v>15.08.26_48h</v>
      </c>
      <c r="C50" s="35" t="str">
        <f>IF(A50="","",LOOKUP(2,1/((Overview!$L$3:$L$62&lt;=ROW()-2)*(Overview!$M$3:$M$62&gt;=ROW()-2)),Overview!$Y$3:$Y$62))</f>
        <v>E1_15.08.26_48h</v>
      </c>
      <c r="D50" s="38">
        <f>IF(A50="","",ROW()-2-LOOKUP(2,1/((Overview!$L$3:$L$62&lt;=ROW()-2)*(Overview!$M$3:$M$62&gt;=ROW()-2)),Overview!$L$3:$L$62)+1)</f>
        <v>24</v>
      </c>
      <c r="E50" s="37" t="str">
        <f>IF(A50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50" s="38" t="str">
        <f>IF(A50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50" s="115" t="str">
        <f>IF(A50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0" s="37" t="str">
        <f>IF(A50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50" s="37">
        <f>IF(A50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50" s="38" t="str">
        <f>IF(A50="","","image"&amp;D50&amp;LOOKUP(2,1/((Overview!$L$3:$L$62&lt;=ROW()-2)*(Overview!$M$3:$M$62&gt;=ROW()-2)),Overview!$X$3:$X$62))</f>
        <v>image24.jpg</v>
      </c>
      <c r="K50" s="115" t="str">
        <f t="shared" si="4"/>
        <v>E1_15.08.26_48h_I024</v>
      </c>
      <c r="L50" s="104" t="str">
        <f>IF(U50="","",IF(V50=1,U50,IF(X50=1,W50,LEFT(W50,LEN(W50)-LEN(LOOKUP(2,1/((Overview!$L$3:$L$62&lt;=ROW()-2)*(Overview!$M$3:$M$62&gt;=ROW()-2)),Overview!$X$3:$X$62)))&amp;IF(COUNTIF($W$3:W50,W50)=1,"","__"&amp;COUNTIF($W$3:W50,W50))&amp;LOOKUP(2,1/((Overview!$L$3:$L$62&lt;=ROW()-2)*(Overview!$M$3:$M$62&gt;=ROW()-2)),Overview!$X$3:$X$62))))</f>
        <v>15.08.26_SetB_48h_YPDA + salt, 4.jpg</v>
      </c>
      <c r="M50" s="35" t="str">
        <f>IF(A50="","",LOOKUP(2,1/((Overview!$L$3:$L$62&lt;=ROW()-2)*(Overview!$M$3:$M$62&gt;=ROW()-2)),Overview!$U$3:$U$62))</f>
        <v>Arrangement 1</v>
      </c>
      <c r="N50" s="35" t="str">
        <f>IF(A50="","",LOOKUP(2,1/((Overview!$L$3:$L$62&lt;=ROW()-2)*(Overview!$M$3:$M$62&gt;=ROW()-2)),Overview!$V$3:$V$62))</f>
        <v>annotationSet 1</v>
      </c>
      <c r="O50" s="35" t="str">
        <f>IF(A50="","",LOOKUP(2,1/((Overview!$L$3:$L$62&lt;=ROW()-2)*(Overview!$M$3:$M$62&gt;=ROW()-2)),Overview!$B$3:$B$62))</f>
        <v>15.08.26</v>
      </c>
      <c r="P50" s="76">
        <f>IF(A50="","",LOOKUP(2,1/((Overview!$L$3:$L$62&lt;=ROW()-2)*(Overview!$M$3:$M$62&gt;=ROW()-2)),Overview!$S$3:$S$62))</f>
        <v>46249</v>
      </c>
      <c r="Q50" s="35" t="str">
        <f>IF(A50="","",LOOKUP(2,1/((Overview!$L$3:$L$62&lt;=ROW()-2)*(Overview!$M$3:$M$62&gt;=ROW()-2)),Overview!$C$3:$C$62))</f>
        <v>48h</v>
      </c>
      <c r="R50" s="78" t="str">
        <f>IF(E50="","",IF(AND(I50&lt;&gt;"",LOOKUP(2,1/((Overview!$L$3:$L$62&lt;=ROW()-2)*(Overview!$M$3:$M$62&gt;=ROW()-2)),Overview!$Z$3:$Z$62)&lt;&gt;""),LEFT(E50,LEN(E50)-LEN(I50))&amp;LOOKUP(2,1/((Overview!$L$3:$L$62&lt;=ROW()-2)*(Overview!$M$3:$M$62&gt;=ROW()-2)),Overview!$Z$3:$Z$62)&amp;" "&amp;I50,E50)&amp;IF(AND(Q50="",LOOKUP(2,1/((Overview!$L$3:$L$62&lt;=ROW()-2)*(Overview!$M$3:$M$62&gt;=ROW()-2)),Overview!$W$3:$W$62)=""),"",", "&amp;IF(Q50&lt;&gt;"",Q50,"")&amp;IF(AND(Q50&lt;&gt;"",LOOKUP(2,1/((Overview!$L$3:$L$62&lt;=ROW()-2)*(Overview!$M$3:$M$62&gt;=ROW()-2)),Overview!$W$3:$W$62)&lt;&gt;"")," ","")&amp;LOOKUP(2,1/((Overview!$L$3:$L$62&lt;=ROW()-2)*(Overview!$M$3:$M$62&gt;=ROW()-2)),Overview!$W$3:$W$62)))</f>
        <v>YPDA + salt, 4, 48h growth</v>
      </c>
      <c r="S50" t="str">
        <f t="shared" si="1"/>
        <v>Duplicate resolved by Set</v>
      </c>
      <c r="U50" s="10" t="str">
        <f>IF(A50="","",O50&amp;IF(LOOKUP(2,1/((Overview!$L$3:$L$62&lt;=ROW()-2)*(Overview!$M$3:$M$62&gt;=ROW()-2)),Overview!$T$3:$T$62)&lt;&gt;"","_"&amp;LOOKUP(2,1/((Overview!$L$3:$L$62&lt;=ROW()-2)*(Overview!$M$3:$M$62&gt;=ROW()-2)),Overview!$T$3:$T$62),"")&amp;IF(Q50&lt;&gt;"","_"&amp;Q50,"")&amp;IF(E50&lt;&gt;"","_"&amp;E50,"")&amp;LOOKUP(2,1/((Overview!$L$3:$L$62&lt;=ROW()-2)*(Overview!$M$3:$M$62&gt;=ROW()-2)),Overview!$X$3:$X$62))</f>
        <v>15.08.26_48h_YPDA + salt, 4.jpg</v>
      </c>
      <c r="V50">
        <f t="shared" si="2"/>
        <v>2</v>
      </c>
      <c r="W50" t="str">
        <f>IF(U50="","",O50&amp;IF(LOOKUP(2,1/((Overview!$L$3:$L$62&lt;=ROW()-2)*(Overview!$M$3:$M$62&gt;=ROW()-2)),Overview!$T$3:$T$62)&lt;&gt;"","_"&amp;LOOKUP(2,1/((Overview!$L$3:$L$62&lt;=ROW()-2)*(Overview!$M$3:$M$62&gt;=ROW()-2)),Overview!$T$3:$T$62),"")&amp;"_"&amp;IF(LEFT(LOWER(TRIM(F50)),3)="set",TRIM(F50),"Set"&amp;TRIM(F50))&amp;IF(Q50&lt;&gt;"","_"&amp;Q50,"")&amp;IF(E50&lt;&gt;"","_"&amp;E50,"")&amp;LOOKUP(2,1/((Overview!$L$3:$L$62&lt;=ROW()-2)*(Overview!$M$3:$M$62&gt;=ROW()-2)),Overview!$X$3:$X$62))</f>
        <v>15.08.26_SetB_48h_YPDA + salt, 4.jpg</v>
      </c>
      <c r="X50">
        <f t="shared" si="3"/>
        <v>1</v>
      </c>
    </row>
    <row r="51" spans="1:24" ht="13.9" thickBot="1">
      <c r="A51" s="22">
        <f>IF(ROW()-2&gt;SUMIFS(Overview!$K$3:$K$62,Overview!$N$3:$N$62,"OK"),"",LOOKUP(2,1/((Overview!$L$3:$L$62&lt;=ROW()-2)*(Overview!$M$3:$M$62&gt;=ROW()-2)),Overview!$R$3:$R$62))</f>
        <v>2</v>
      </c>
      <c r="B51" s="22" t="str">
        <f>IF(A51="","",LOOKUP(2,1/((Overview!$L$3:$L$62&lt;=ROW()-2)*(Overview!$M$3:$M$62&gt;=ROW()-2)),Overview!$O$3:$O$62))</f>
        <v>16.08.26_24h</v>
      </c>
      <c r="C51" s="22" t="str">
        <f>IF(A51="","",LOOKUP(2,1/((Overview!$L$3:$L$62&lt;=ROW()-2)*(Overview!$M$3:$M$62&gt;=ROW()-2)),Overview!$Y$3:$Y$62))</f>
        <v>E2_16.08.26_24h</v>
      </c>
      <c r="D51" s="40">
        <f>IF(A51="","",ROW()-2-LOOKUP(2,1/((Overview!$L$3:$L$62&lt;=ROW()-2)*(Overview!$M$3:$M$62&gt;=ROW()-2)),Overview!$L$3:$L$62)+1)</f>
        <v>1</v>
      </c>
      <c r="E51" s="26" t="str">
        <f>IF(A51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51" s="40" t="str">
        <f>IF(A51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1" s="111" t="str">
        <f>IF(A51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1" s="26" t="str">
        <f>IF(A51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51" s="26">
        <f>IF(A51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51" s="40" t="str">
        <f>IF(A51="","","image"&amp;D51&amp;LOOKUP(2,1/((Overview!$L$3:$L$62&lt;=ROW()-2)*(Overview!$M$3:$M$62&gt;=ROW()-2)),Overview!$X$3:$X$62))</f>
        <v>image1.jpg</v>
      </c>
      <c r="K51" s="111" t="str">
        <f t="shared" si="4"/>
        <v>E2_16.08.26_24h_I001</v>
      </c>
      <c r="L51" s="40" t="str">
        <f>IF(U51="","",IF(V51=1,U51,IF(X51=1,W51,LEFT(W51,LEN(W51)-LEN(LOOKUP(2,1/((Overview!$L$3:$L$62&lt;=ROW()-2)*(Overview!$M$3:$M$62&gt;=ROW()-2)),Overview!$X$3:$X$62)))&amp;IF(COUNTIF($W$3:W51,W51)=1,"","__"&amp;COUNTIF($W$3:W51,W51))&amp;LOOKUP(2,1/((Overview!$L$3:$L$62&lt;=ROW()-2)*(Overview!$M$3:$M$62&gt;=ROW()-2)),Overview!$X$3:$X$62))))</f>
        <v>16.08.26_SetA_24h_YPDA, 1.jpg</v>
      </c>
      <c r="M51" s="22" t="str">
        <f>IF(A51="","",LOOKUP(2,1/((Overview!$L$3:$L$62&lt;=ROW()-2)*(Overview!$M$3:$M$62&gt;=ROW()-2)),Overview!$U$3:$U$62))</f>
        <v>Arrangement 2</v>
      </c>
      <c r="N51" s="22" t="str">
        <f>IF(A51="","",LOOKUP(2,1/((Overview!$L$3:$L$62&lt;=ROW()-2)*(Overview!$M$3:$M$62&gt;=ROW()-2)),Overview!$V$3:$V$62))</f>
        <v>annotationSet 2</v>
      </c>
      <c r="O51" s="22" t="str">
        <f>IF(A51="","",LOOKUP(2,1/((Overview!$L$3:$L$62&lt;=ROW()-2)*(Overview!$M$3:$M$62&gt;=ROW()-2)),Overview!$B$3:$B$62))</f>
        <v>16.08.26</v>
      </c>
      <c r="P51" s="75">
        <f>IF(A51="","",LOOKUP(2,1/((Overview!$L$3:$L$62&lt;=ROW()-2)*(Overview!$M$3:$M$62&gt;=ROW()-2)),Overview!$S$3:$S$62))</f>
        <v>46250</v>
      </c>
      <c r="Q51" s="22" t="str">
        <f>IF(A51="","",LOOKUP(2,1/((Overview!$L$3:$L$62&lt;=ROW()-2)*(Overview!$M$3:$M$62&gt;=ROW()-2)),Overview!$C$3:$C$62))</f>
        <v>24h</v>
      </c>
      <c r="R51" s="22" t="str">
        <f>IF(E51="","",IF(AND(I51&lt;&gt;"",LOOKUP(2,1/((Overview!$L$3:$L$62&lt;=ROW()-2)*(Overview!$M$3:$M$62&gt;=ROW()-2)),Overview!$Z$3:$Z$62)&lt;&gt;""),LEFT(E51,LEN(E51)-LEN(I51))&amp;LOOKUP(2,1/((Overview!$L$3:$L$62&lt;=ROW()-2)*(Overview!$M$3:$M$62&gt;=ROW()-2)),Overview!$Z$3:$Z$62)&amp;" "&amp;I51,E51)&amp;IF(AND(Q51="",LOOKUP(2,1/((Overview!$L$3:$L$62&lt;=ROW()-2)*(Overview!$M$3:$M$62&gt;=ROW()-2)),Overview!$W$3:$W$62)=""),"",", "&amp;IF(Q51&lt;&gt;"",Q51,"")&amp;IF(AND(Q51&lt;&gt;"",LOOKUP(2,1/((Overview!$L$3:$L$62&lt;=ROW()-2)*(Overview!$M$3:$M$62&gt;=ROW()-2)),Overview!$W$3:$W$62)&lt;&gt;"")," ","")&amp;LOOKUP(2,1/((Overview!$L$3:$L$62&lt;=ROW()-2)*(Overview!$M$3:$M$62&gt;=ROW()-2)),Overview!$W$3:$W$62)))</f>
        <v>YPDA, 1, 24h</v>
      </c>
      <c r="S51" s="105" t="str">
        <f t="shared" si="1"/>
        <v>Duplicate resolved by Set</v>
      </c>
      <c r="U51" s="10" t="str">
        <f>IF(A51="","",O51&amp;IF(LOOKUP(2,1/((Overview!$L$3:$L$62&lt;=ROW()-2)*(Overview!$M$3:$M$62&gt;=ROW()-2)),Overview!$T$3:$T$62)&lt;&gt;"","_"&amp;LOOKUP(2,1/((Overview!$L$3:$L$62&lt;=ROW()-2)*(Overview!$M$3:$M$62&gt;=ROW()-2)),Overview!$T$3:$T$62),"")&amp;IF(Q51&lt;&gt;"","_"&amp;Q51,"")&amp;IF(E51&lt;&gt;"","_"&amp;E51,"")&amp;LOOKUP(2,1/((Overview!$L$3:$L$62&lt;=ROW()-2)*(Overview!$M$3:$M$62&gt;=ROW()-2)),Overview!$X$3:$X$62))</f>
        <v>16.08.26_24h_YPDA, 1.jpg</v>
      </c>
      <c r="V51">
        <f t="shared" si="2"/>
        <v>2</v>
      </c>
      <c r="W51" t="str">
        <f>IF(U51="","",O51&amp;IF(LOOKUP(2,1/((Overview!$L$3:$L$62&lt;=ROW()-2)*(Overview!$M$3:$M$62&gt;=ROW()-2)),Overview!$T$3:$T$62)&lt;&gt;"","_"&amp;LOOKUP(2,1/((Overview!$L$3:$L$62&lt;=ROW()-2)*(Overview!$M$3:$M$62&gt;=ROW()-2)),Overview!$T$3:$T$62),"")&amp;"_"&amp;IF(LEFT(LOWER(TRIM(F51)),3)="set",TRIM(F51),"Set"&amp;TRIM(F51))&amp;IF(Q51&lt;&gt;"","_"&amp;Q51,"")&amp;IF(E51&lt;&gt;"","_"&amp;E51,"")&amp;LOOKUP(2,1/((Overview!$L$3:$L$62&lt;=ROW()-2)*(Overview!$M$3:$M$62&gt;=ROW()-2)),Overview!$X$3:$X$62))</f>
        <v>16.08.26_SetA_24h_YPDA, 1.jpg</v>
      </c>
      <c r="X51">
        <f t="shared" si="3"/>
        <v>1</v>
      </c>
    </row>
    <row r="52" spans="1:24" ht="13.9" thickBot="1">
      <c r="A52" s="19">
        <f>IF(ROW()-2&gt;SUMIFS(Overview!$K$3:$K$62,Overview!$N$3:$N$62,"OK"),"",LOOKUP(2,1/((Overview!$L$3:$L$62&lt;=ROW()-2)*(Overview!$M$3:$M$62&gt;=ROW()-2)),Overview!$R$3:$R$62))</f>
        <v>2</v>
      </c>
      <c r="B52" s="19" t="str">
        <f>IF(A52="","",LOOKUP(2,1/((Overview!$L$3:$L$62&lt;=ROW()-2)*(Overview!$M$3:$M$62&gt;=ROW()-2)),Overview!$O$3:$O$62))</f>
        <v>16.08.26_24h</v>
      </c>
      <c r="C52" s="19" t="str">
        <f>IF(A52="","",LOOKUP(2,1/((Overview!$L$3:$L$62&lt;=ROW()-2)*(Overview!$M$3:$M$62&gt;=ROW()-2)),Overview!$Y$3:$Y$62))</f>
        <v>E2_16.08.26_24h</v>
      </c>
      <c r="D52" s="42">
        <f>IF(A52="","",ROW()-2-LOOKUP(2,1/((Overview!$L$3:$L$62&lt;=ROW()-2)*(Overview!$M$3:$M$62&gt;=ROW()-2)),Overview!$L$3:$L$62)+1)</f>
        <v>2</v>
      </c>
      <c r="E52" s="28" t="str">
        <f>IF(A52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52" s="42" t="str">
        <f>IF(A52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2" s="112" t="str">
        <f>IF(A52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2" s="28" t="str">
        <f>IF(A52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52" s="28">
        <f>IF(A52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52" s="42" t="str">
        <f>IF(A52="","","image"&amp;D52&amp;LOOKUP(2,1/((Overview!$L$3:$L$62&lt;=ROW()-2)*(Overview!$M$3:$M$62&gt;=ROW()-2)),Overview!$X$3:$X$62))</f>
        <v>image2.jpg</v>
      </c>
      <c r="K52" s="112" t="str">
        <f t="shared" si="4"/>
        <v>E2_16.08.26_24h_I002</v>
      </c>
      <c r="L52" s="40" t="str">
        <f>IF(U52="","",IF(V52=1,U52,IF(X52=1,W52,LEFT(W52,LEN(W52)-LEN(LOOKUP(2,1/((Overview!$L$3:$L$62&lt;=ROW()-2)*(Overview!$M$3:$M$62&gt;=ROW()-2)),Overview!$X$3:$X$62)))&amp;IF(COUNTIF($W$3:W52,W52)=1,"","__"&amp;COUNTIF($W$3:W52,W52))&amp;LOOKUP(2,1/((Overview!$L$3:$L$62&lt;=ROW()-2)*(Overview!$M$3:$M$62&gt;=ROW()-2)),Overview!$X$3:$X$62))))</f>
        <v>16.08.26_SetA_24h_YPDA, 2.jpg</v>
      </c>
      <c r="M52" s="19" t="str">
        <f>IF(A52="","",LOOKUP(2,1/((Overview!$L$3:$L$62&lt;=ROW()-2)*(Overview!$M$3:$M$62&gt;=ROW()-2)),Overview!$U$3:$U$62))</f>
        <v>Arrangement 2</v>
      </c>
      <c r="N52" s="19" t="str">
        <f>IF(A52="","",LOOKUP(2,1/((Overview!$L$3:$L$62&lt;=ROW()-2)*(Overview!$M$3:$M$62&gt;=ROW()-2)),Overview!$V$3:$V$62))</f>
        <v>annotationSet 2</v>
      </c>
      <c r="O52" s="19" t="str">
        <f>IF(A52="","",LOOKUP(2,1/((Overview!$L$3:$L$62&lt;=ROW()-2)*(Overview!$M$3:$M$62&gt;=ROW()-2)),Overview!$B$3:$B$62))</f>
        <v>16.08.26</v>
      </c>
      <c r="P52" s="74">
        <f>IF(A52="","",LOOKUP(2,1/((Overview!$L$3:$L$62&lt;=ROW()-2)*(Overview!$M$3:$M$62&gt;=ROW()-2)),Overview!$S$3:$S$62))</f>
        <v>46250</v>
      </c>
      <c r="Q52" s="19" t="str">
        <f>IF(A52="","",LOOKUP(2,1/((Overview!$L$3:$L$62&lt;=ROW()-2)*(Overview!$M$3:$M$62&gt;=ROW()-2)),Overview!$C$3:$C$62))</f>
        <v>24h</v>
      </c>
      <c r="R52" s="22" t="str">
        <f>IF(E52="","",IF(AND(I52&lt;&gt;"",LOOKUP(2,1/((Overview!$L$3:$L$62&lt;=ROW()-2)*(Overview!$M$3:$M$62&gt;=ROW()-2)),Overview!$Z$3:$Z$62)&lt;&gt;""),LEFT(E52,LEN(E52)-LEN(I52))&amp;LOOKUP(2,1/((Overview!$L$3:$L$62&lt;=ROW()-2)*(Overview!$M$3:$M$62&gt;=ROW()-2)),Overview!$Z$3:$Z$62)&amp;" "&amp;I52,E52)&amp;IF(AND(Q52="",LOOKUP(2,1/((Overview!$L$3:$L$62&lt;=ROW()-2)*(Overview!$M$3:$M$62&gt;=ROW()-2)),Overview!$W$3:$W$62)=""),"",", "&amp;IF(Q52&lt;&gt;"",Q52,"")&amp;IF(AND(Q52&lt;&gt;"",LOOKUP(2,1/((Overview!$L$3:$L$62&lt;=ROW()-2)*(Overview!$M$3:$M$62&gt;=ROW()-2)),Overview!$W$3:$W$62)&lt;&gt;"")," ","")&amp;LOOKUP(2,1/((Overview!$L$3:$L$62&lt;=ROW()-2)*(Overview!$M$3:$M$62&gt;=ROW()-2)),Overview!$W$3:$W$62)))</f>
        <v>YPDA, 2, 24h</v>
      </c>
      <c r="S52" t="str">
        <f t="shared" si="1"/>
        <v>Duplicate resolved by Set</v>
      </c>
      <c r="U52" s="10" t="str">
        <f>IF(A52="","",O52&amp;IF(LOOKUP(2,1/((Overview!$L$3:$L$62&lt;=ROW()-2)*(Overview!$M$3:$M$62&gt;=ROW()-2)),Overview!$T$3:$T$62)&lt;&gt;"","_"&amp;LOOKUP(2,1/((Overview!$L$3:$L$62&lt;=ROW()-2)*(Overview!$M$3:$M$62&gt;=ROW()-2)),Overview!$T$3:$T$62),"")&amp;IF(Q52&lt;&gt;"","_"&amp;Q52,"")&amp;IF(E52&lt;&gt;"","_"&amp;E52,"")&amp;LOOKUP(2,1/((Overview!$L$3:$L$62&lt;=ROW()-2)*(Overview!$M$3:$M$62&gt;=ROW()-2)),Overview!$X$3:$X$62))</f>
        <v>16.08.26_24h_YPDA, 2.jpg</v>
      </c>
      <c r="V52">
        <f t="shared" si="2"/>
        <v>2</v>
      </c>
      <c r="W52" t="str">
        <f>IF(U52="","",O52&amp;IF(LOOKUP(2,1/((Overview!$L$3:$L$62&lt;=ROW()-2)*(Overview!$M$3:$M$62&gt;=ROW()-2)),Overview!$T$3:$T$62)&lt;&gt;"","_"&amp;LOOKUP(2,1/((Overview!$L$3:$L$62&lt;=ROW()-2)*(Overview!$M$3:$M$62&gt;=ROW()-2)),Overview!$T$3:$T$62),"")&amp;"_"&amp;IF(LEFT(LOWER(TRIM(F52)),3)="set",TRIM(F52),"Set"&amp;TRIM(F52))&amp;IF(Q52&lt;&gt;"","_"&amp;Q52,"")&amp;IF(E52&lt;&gt;"","_"&amp;E52,"")&amp;LOOKUP(2,1/((Overview!$L$3:$L$62&lt;=ROW()-2)*(Overview!$M$3:$M$62&gt;=ROW()-2)),Overview!$X$3:$X$62))</f>
        <v>16.08.26_SetA_24h_YPDA, 2.jpg</v>
      </c>
      <c r="X52">
        <f t="shared" si="3"/>
        <v>1</v>
      </c>
    </row>
    <row r="53" spans="1:24" ht="13.9" thickBot="1">
      <c r="A53" s="5">
        <f>IF(ROW()-2&gt;SUMIFS(Overview!$K$3:$K$62,Overview!$N$3:$N$62,"OK"),"",LOOKUP(2,1/((Overview!$L$3:$L$62&lt;=ROW()-2)*(Overview!$M$3:$M$62&gt;=ROW()-2)),Overview!$R$3:$R$62))</f>
        <v>2</v>
      </c>
      <c r="B53" s="5" t="str">
        <f>IF(A53="","",LOOKUP(2,1/((Overview!$L$3:$L$62&lt;=ROW()-2)*(Overview!$M$3:$M$62&gt;=ROW()-2)),Overview!$O$3:$O$62))</f>
        <v>16.08.26_24h</v>
      </c>
      <c r="C53" s="5" t="str">
        <f>IF(A53="","",LOOKUP(2,1/((Overview!$L$3:$L$62&lt;=ROW()-2)*(Overview!$M$3:$M$62&gt;=ROW()-2)),Overview!$Y$3:$Y$62))</f>
        <v>E2_16.08.26_24h</v>
      </c>
      <c r="D53" s="34">
        <f>IF(A53="","",ROW()-2-LOOKUP(2,1/((Overview!$L$3:$L$62&lt;=ROW()-2)*(Overview!$M$3:$M$62&gt;=ROW()-2)),Overview!$L$3:$L$62)+1)</f>
        <v>3</v>
      </c>
      <c r="E53" s="24" t="str">
        <f>IF(A53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53" s="34" t="str">
        <f>IF(A53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3" s="113" t="str">
        <f>IF(A53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3" s="24" t="str">
        <f>IF(A53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53" s="24">
        <f>IF(A53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53" s="34" t="str">
        <f>IF(A53="","","image"&amp;D53&amp;LOOKUP(2,1/((Overview!$L$3:$L$62&lt;=ROW()-2)*(Overview!$M$3:$M$62&gt;=ROW()-2)),Overview!$X$3:$X$62))</f>
        <v>image3.jpg</v>
      </c>
      <c r="K53" s="113" t="str">
        <f t="shared" si="4"/>
        <v>E2_16.08.26_24h_I003</v>
      </c>
      <c r="L53" s="40" t="str">
        <f>IF(U53="","",IF(V53=1,U53,IF(X53=1,W53,LEFT(W53,LEN(W53)-LEN(LOOKUP(2,1/((Overview!$L$3:$L$62&lt;=ROW()-2)*(Overview!$M$3:$M$62&gt;=ROW()-2)),Overview!$X$3:$X$62)))&amp;IF(COUNTIF($W$3:W53,W53)=1,"","__"&amp;COUNTIF($W$3:W53,W53))&amp;LOOKUP(2,1/((Overview!$L$3:$L$62&lt;=ROW()-2)*(Overview!$M$3:$M$62&gt;=ROW()-2)),Overview!$X$3:$X$62))))</f>
        <v>16.08.26_SetA_24h_YPDA, 3.jpg</v>
      </c>
      <c r="M53" s="5" t="str">
        <f>IF(A53="","",LOOKUP(2,1/((Overview!$L$3:$L$62&lt;=ROW()-2)*(Overview!$M$3:$M$62&gt;=ROW()-2)),Overview!$U$3:$U$62))</f>
        <v>Arrangement 2</v>
      </c>
      <c r="N53" s="5" t="str">
        <f>IF(A53="","",LOOKUP(2,1/((Overview!$L$3:$L$62&lt;=ROW()-2)*(Overview!$M$3:$M$62&gt;=ROW()-2)),Overview!$V$3:$V$62))</f>
        <v>annotationSet 2</v>
      </c>
      <c r="O53" s="5" t="str">
        <f>IF(A53="","",LOOKUP(2,1/((Overview!$L$3:$L$62&lt;=ROW()-2)*(Overview!$M$3:$M$62&gt;=ROW()-2)),Overview!$B$3:$B$62))</f>
        <v>16.08.26</v>
      </c>
      <c r="P53" s="14">
        <f>IF(A53="","",LOOKUP(2,1/((Overview!$L$3:$L$62&lt;=ROW()-2)*(Overview!$M$3:$M$62&gt;=ROW()-2)),Overview!$S$3:$S$62))</f>
        <v>46250</v>
      </c>
      <c r="Q53" s="5" t="str">
        <f>IF(A53="","",LOOKUP(2,1/((Overview!$L$3:$L$62&lt;=ROW()-2)*(Overview!$M$3:$M$62&gt;=ROW()-2)),Overview!$C$3:$C$62))</f>
        <v>24h</v>
      </c>
      <c r="R53" s="22" t="str">
        <f>IF(E53="","",IF(AND(I53&lt;&gt;"",LOOKUP(2,1/((Overview!$L$3:$L$62&lt;=ROW()-2)*(Overview!$M$3:$M$62&gt;=ROW()-2)),Overview!$Z$3:$Z$62)&lt;&gt;""),LEFT(E53,LEN(E53)-LEN(I53))&amp;LOOKUP(2,1/((Overview!$L$3:$L$62&lt;=ROW()-2)*(Overview!$M$3:$M$62&gt;=ROW()-2)),Overview!$Z$3:$Z$62)&amp;" "&amp;I53,E53)&amp;IF(AND(Q53="",LOOKUP(2,1/((Overview!$L$3:$L$62&lt;=ROW()-2)*(Overview!$M$3:$M$62&gt;=ROW()-2)),Overview!$W$3:$W$62)=""),"",", "&amp;IF(Q53&lt;&gt;"",Q53,"")&amp;IF(AND(Q53&lt;&gt;"",LOOKUP(2,1/((Overview!$L$3:$L$62&lt;=ROW()-2)*(Overview!$M$3:$M$62&gt;=ROW()-2)),Overview!$W$3:$W$62)&lt;&gt;"")," ","")&amp;LOOKUP(2,1/((Overview!$L$3:$L$62&lt;=ROW()-2)*(Overview!$M$3:$M$62&gt;=ROW()-2)),Overview!$W$3:$W$62)))</f>
        <v>YPDA, 3, 24h</v>
      </c>
      <c r="S53" t="str">
        <f t="shared" si="1"/>
        <v>Duplicate resolved by Set</v>
      </c>
      <c r="U53" s="10" t="str">
        <f>IF(A53="","",O53&amp;IF(LOOKUP(2,1/((Overview!$L$3:$L$62&lt;=ROW()-2)*(Overview!$M$3:$M$62&gt;=ROW()-2)),Overview!$T$3:$T$62)&lt;&gt;"","_"&amp;LOOKUP(2,1/((Overview!$L$3:$L$62&lt;=ROW()-2)*(Overview!$M$3:$M$62&gt;=ROW()-2)),Overview!$T$3:$T$62),"")&amp;IF(Q53&lt;&gt;"","_"&amp;Q53,"")&amp;IF(E53&lt;&gt;"","_"&amp;E53,"")&amp;LOOKUP(2,1/((Overview!$L$3:$L$62&lt;=ROW()-2)*(Overview!$M$3:$M$62&gt;=ROW()-2)),Overview!$X$3:$X$62))</f>
        <v>16.08.26_24h_YPDA, 3.jpg</v>
      </c>
      <c r="V53">
        <f t="shared" si="2"/>
        <v>2</v>
      </c>
      <c r="W53" t="str">
        <f>IF(U53="","",O53&amp;IF(LOOKUP(2,1/((Overview!$L$3:$L$62&lt;=ROW()-2)*(Overview!$M$3:$M$62&gt;=ROW()-2)),Overview!$T$3:$T$62)&lt;&gt;"","_"&amp;LOOKUP(2,1/((Overview!$L$3:$L$62&lt;=ROW()-2)*(Overview!$M$3:$M$62&gt;=ROW()-2)),Overview!$T$3:$T$62),"")&amp;"_"&amp;IF(LEFT(LOWER(TRIM(F53)),3)="set",TRIM(F53),"Set"&amp;TRIM(F53))&amp;IF(Q53&lt;&gt;"","_"&amp;Q53,"")&amp;IF(E53&lt;&gt;"","_"&amp;E53,"")&amp;LOOKUP(2,1/((Overview!$L$3:$L$62&lt;=ROW()-2)*(Overview!$M$3:$M$62&gt;=ROW()-2)),Overview!$X$3:$X$62))</f>
        <v>16.08.26_SetA_24h_YPDA, 3.jpg</v>
      </c>
      <c r="X53">
        <f t="shared" si="3"/>
        <v>1</v>
      </c>
    </row>
    <row r="54" spans="1:24" ht="13.9" thickBot="1">
      <c r="A54" s="5">
        <f>IF(ROW()-2&gt;SUMIFS(Overview!$K$3:$K$62,Overview!$N$3:$N$62,"OK"),"",LOOKUP(2,1/((Overview!$L$3:$L$62&lt;=ROW()-2)*(Overview!$M$3:$M$62&gt;=ROW()-2)),Overview!$R$3:$R$62))</f>
        <v>2</v>
      </c>
      <c r="B54" s="5" t="str">
        <f>IF(A54="","",LOOKUP(2,1/((Overview!$L$3:$L$62&lt;=ROW()-2)*(Overview!$M$3:$M$62&gt;=ROW()-2)),Overview!$O$3:$O$62))</f>
        <v>16.08.26_24h</v>
      </c>
      <c r="C54" s="5" t="str">
        <f>IF(A54="","",LOOKUP(2,1/((Overview!$L$3:$L$62&lt;=ROW()-2)*(Overview!$M$3:$M$62&gt;=ROW()-2)),Overview!$Y$3:$Y$62))</f>
        <v>E2_16.08.26_24h</v>
      </c>
      <c r="D54" s="34">
        <f>IF(A54="","",ROW()-2-LOOKUP(2,1/((Overview!$L$3:$L$62&lt;=ROW()-2)*(Overview!$M$3:$M$62&gt;=ROW()-2)),Overview!$L$3:$L$62)+1)</f>
        <v>4</v>
      </c>
      <c r="E54" s="24" t="str">
        <f>IF(A54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54" s="34" t="str">
        <f>IF(A54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4" s="113" t="str">
        <f>IF(A54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4" s="24" t="str">
        <f>IF(A54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54" s="24">
        <f>IF(A54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54" s="34" t="str">
        <f>IF(A54="","","image"&amp;D54&amp;LOOKUP(2,1/((Overview!$L$3:$L$62&lt;=ROW()-2)*(Overview!$M$3:$M$62&gt;=ROW()-2)),Overview!$X$3:$X$62))</f>
        <v>image4.jpg</v>
      </c>
      <c r="K54" s="113" t="str">
        <f t="shared" si="4"/>
        <v>E2_16.08.26_24h_I004</v>
      </c>
      <c r="L54" s="40" t="str">
        <f>IF(U54="","",IF(V54=1,U54,IF(X54=1,W54,LEFT(W54,LEN(W54)-LEN(LOOKUP(2,1/((Overview!$L$3:$L$62&lt;=ROW()-2)*(Overview!$M$3:$M$62&gt;=ROW()-2)),Overview!$X$3:$X$62)))&amp;IF(COUNTIF($W$3:W54,W54)=1,"","__"&amp;COUNTIF($W$3:W54,W54))&amp;LOOKUP(2,1/((Overview!$L$3:$L$62&lt;=ROW()-2)*(Overview!$M$3:$M$62&gt;=ROW()-2)),Overview!$X$3:$X$62))))</f>
        <v>16.08.26_SetA_24h_YPDA, 4.jpg</v>
      </c>
      <c r="M54" s="5" t="str">
        <f>IF(A54="","",LOOKUP(2,1/((Overview!$L$3:$L$62&lt;=ROW()-2)*(Overview!$M$3:$M$62&gt;=ROW()-2)),Overview!$U$3:$U$62))</f>
        <v>Arrangement 2</v>
      </c>
      <c r="N54" s="5" t="str">
        <f>IF(A54="","",LOOKUP(2,1/((Overview!$L$3:$L$62&lt;=ROW()-2)*(Overview!$M$3:$M$62&gt;=ROW()-2)),Overview!$V$3:$V$62))</f>
        <v>annotationSet 2</v>
      </c>
      <c r="O54" s="5" t="str">
        <f>IF(A54="","",LOOKUP(2,1/((Overview!$L$3:$L$62&lt;=ROW()-2)*(Overview!$M$3:$M$62&gt;=ROW()-2)),Overview!$B$3:$B$62))</f>
        <v>16.08.26</v>
      </c>
      <c r="P54" s="14">
        <f>IF(A54="","",LOOKUP(2,1/((Overview!$L$3:$L$62&lt;=ROW()-2)*(Overview!$M$3:$M$62&gt;=ROW()-2)),Overview!$S$3:$S$62))</f>
        <v>46250</v>
      </c>
      <c r="Q54" s="5" t="str">
        <f>IF(A54="","",LOOKUP(2,1/((Overview!$L$3:$L$62&lt;=ROW()-2)*(Overview!$M$3:$M$62&gt;=ROW()-2)),Overview!$C$3:$C$62))</f>
        <v>24h</v>
      </c>
      <c r="R54" s="22" t="str">
        <f>IF(E54="","",IF(AND(I54&lt;&gt;"",LOOKUP(2,1/((Overview!$L$3:$L$62&lt;=ROW()-2)*(Overview!$M$3:$M$62&gt;=ROW()-2)),Overview!$Z$3:$Z$62)&lt;&gt;""),LEFT(E54,LEN(E54)-LEN(I54))&amp;LOOKUP(2,1/((Overview!$L$3:$L$62&lt;=ROW()-2)*(Overview!$M$3:$M$62&gt;=ROW()-2)),Overview!$Z$3:$Z$62)&amp;" "&amp;I54,E54)&amp;IF(AND(Q54="",LOOKUP(2,1/((Overview!$L$3:$L$62&lt;=ROW()-2)*(Overview!$M$3:$M$62&gt;=ROW()-2)),Overview!$W$3:$W$62)=""),"",", "&amp;IF(Q54&lt;&gt;"",Q54,"")&amp;IF(AND(Q54&lt;&gt;"",LOOKUP(2,1/((Overview!$L$3:$L$62&lt;=ROW()-2)*(Overview!$M$3:$M$62&gt;=ROW()-2)),Overview!$W$3:$W$62)&lt;&gt;"")," ","")&amp;LOOKUP(2,1/((Overview!$L$3:$L$62&lt;=ROW()-2)*(Overview!$M$3:$M$62&gt;=ROW()-2)),Overview!$W$3:$W$62)))</f>
        <v>YPDA, 4, 24h</v>
      </c>
      <c r="S54" t="str">
        <f t="shared" si="1"/>
        <v>Duplicate resolved by Set</v>
      </c>
      <c r="U54" s="10" t="str">
        <f>IF(A54="","",O54&amp;IF(LOOKUP(2,1/((Overview!$L$3:$L$62&lt;=ROW()-2)*(Overview!$M$3:$M$62&gt;=ROW()-2)),Overview!$T$3:$T$62)&lt;&gt;"","_"&amp;LOOKUP(2,1/((Overview!$L$3:$L$62&lt;=ROW()-2)*(Overview!$M$3:$M$62&gt;=ROW()-2)),Overview!$T$3:$T$62),"")&amp;IF(Q54&lt;&gt;"","_"&amp;Q54,"")&amp;IF(E54&lt;&gt;"","_"&amp;E54,"")&amp;LOOKUP(2,1/((Overview!$L$3:$L$62&lt;=ROW()-2)*(Overview!$M$3:$M$62&gt;=ROW()-2)),Overview!$X$3:$X$62))</f>
        <v>16.08.26_24h_YPDA, 4.jpg</v>
      </c>
      <c r="V54">
        <f t="shared" si="2"/>
        <v>2</v>
      </c>
      <c r="W54" t="str">
        <f>IF(U54="","",O54&amp;IF(LOOKUP(2,1/((Overview!$L$3:$L$62&lt;=ROW()-2)*(Overview!$M$3:$M$62&gt;=ROW()-2)),Overview!$T$3:$T$62)&lt;&gt;"","_"&amp;LOOKUP(2,1/((Overview!$L$3:$L$62&lt;=ROW()-2)*(Overview!$M$3:$M$62&gt;=ROW()-2)),Overview!$T$3:$T$62),"")&amp;"_"&amp;IF(LEFT(LOWER(TRIM(F54)),3)="set",TRIM(F54),"Set"&amp;TRIM(F54))&amp;IF(Q54&lt;&gt;"","_"&amp;Q54,"")&amp;IF(E54&lt;&gt;"","_"&amp;E54,"")&amp;LOOKUP(2,1/((Overview!$L$3:$L$62&lt;=ROW()-2)*(Overview!$M$3:$M$62&gt;=ROW()-2)),Overview!$X$3:$X$62))</f>
        <v>16.08.26_SetA_24h_YPDA, 4.jpg</v>
      </c>
      <c r="X54">
        <f t="shared" si="3"/>
        <v>1</v>
      </c>
    </row>
    <row r="55" spans="1:24" ht="13.9" thickBot="1">
      <c r="A55" s="5">
        <f>IF(ROW()-2&gt;SUMIFS(Overview!$K$3:$K$62,Overview!$N$3:$N$62,"OK"),"",LOOKUP(2,1/((Overview!$L$3:$L$62&lt;=ROW()-2)*(Overview!$M$3:$M$62&gt;=ROW()-2)),Overview!$R$3:$R$62))</f>
        <v>2</v>
      </c>
      <c r="B55" s="5" t="str">
        <f>IF(A55="","",LOOKUP(2,1/((Overview!$L$3:$L$62&lt;=ROW()-2)*(Overview!$M$3:$M$62&gt;=ROW()-2)),Overview!$O$3:$O$62))</f>
        <v>16.08.26_24h</v>
      </c>
      <c r="C55" s="5" t="str">
        <f>IF(A55="","",LOOKUP(2,1/((Overview!$L$3:$L$62&lt;=ROW()-2)*(Overview!$M$3:$M$62&gt;=ROW()-2)),Overview!$Y$3:$Y$62))</f>
        <v>E2_16.08.26_24h</v>
      </c>
      <c r="D55" s="34">
        <f>IF(A55="","",ROW()-2-LOOKUP(2,1/((Overview!$L$3:$L$62&lt;=ROW()-2)*(Overview!$M$3:$M$62&gt;=ROW()-2)),Overview!$L$3:$L$62)+1)</f>
        <v>5</v>
      </c>
      <c r="E55" s="30" t="str">
        <f>IF(A55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55" s="34" t="str">
        <f>IF(A55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5" s="113" t="str">
        <f>IF(A55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5" s="30" t="str">
        <f>IF(A55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55" s="30">
        <f>IF(A55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55" s="34" t="str">
        <f>IF(A55="","","image"&amp;D55&amp;LOOKUP(2,1/((Overview!$L$3:$L$62&lt;=ROW()-2)*(Overview!$M$3:$M$62&gt;=ROW()-2)),Overview!$X$3:$X$62))</f>
        <v>image5.jpg</v>
      </c>
      <c r="K55" s="113" t="str">
        <f t="shared" si="4"/>
        <v>E2_16.08.26_24h_I005</v>
      </c>
      <c r="L55" s="40" t="str">
        <f>IF(U55="","",IF(V55=1,U55,IF(X55=1,W55,LEFT(W55,LEN(W55)-LEN(LOOKUP(2,1/((Overview!$L$3:$L$62&lt;=ROW()-2)*(Overview!$M$3:$M$62&gt;=ROW()-2)),Overview!$X$3:$X$62)))&amp;IF(COUNTIF($W$3:W55,W55)=1,"","__"&amp;COUNTIF($W$3:W55,W55))&amp;LOOKUP(2,1/((Overview!$L$3:$L$62&lt;=ROW()-2)*(Overview!$M$3:$M$62&gt;=ROW()-2)),Overview!$X$3:$X$62))))</f>
        <v>16.08.26_SetA_24h_YPDA + heat, 1.jpg</v>
      </c>
      <c r="M55" s="5" t="str">
        <f>IF(A55="","",LOOKUP(2,1/((Overview!$L$3:$L$62&lt;=ROW()-2)*(Overview!$M$3:$M$62&gt;=ROW()-2)),Overview!$U$3:$U$62))</f>
        <v>Arrangement 2</v>
      </c>
      <c r="N55" s="5" t="str">
        <f>IF(A55="","",LOOKUP(2,1/((Overview!$L$3:$L$62&lt;=ROW()-2)*(Overview!$M$3:$M$62&gt;=ROW()-2)),Overview!$V$3:$V$62))</f>
        <v>annotationSet 2</v>
      </c>
      <c r="O55" s="5" t="str">
        <f>IF(A55="","",LOOKUP(2,1/((Overview!$L$3:$L$62&lt;=ROW()-2)*(Overview!$M$3:$M$62&gt;=ROW()-2)),Overview!$B$3:$B$62))</f>
        <v>16.08.26</v>
      </c>
      <c r="P55" s="14">
        <f>IF(A55="","",LOOKUP(2,1/((Overview!$L$3:$L$62&lt;=ROW()-2)*(Overview!$M$3:$M$62&gt;=ROW()-2)),Overview!$S$3:$S$62))</f>
        <v>46250</v>
      </c>
      <c r="Q55" s="5" t="str">
        <f>IF(A55="","",LOOKUP(2,1/((Overview!$L$3:$L$62&lt;=ROW()-2)*(Overview!$M$3:$M$62&gt;=ROW()-2)),Overview!$C$3:$C$62))</f>
        <v>24h</v>
      </c>
      <c r="R55" s="22" t="str">
        <f>IF(E55="","",IF(AND(I55&lt;&gt;"",LOOKUP(2,1/((Overview!$L$3:$L$62&lt;=ROW()-2)*(Overview!$M$3:$M$62&gt;=ROW()-2)),Overview!$Z$3:$Z$62)&lt;&gt;""),LEFT(E55,LEN(E55)-LEN(I55))&amp;LOOKUP(2,1/((Overview!$L$3:$L$62&lt;=ROW()-2)*(Overview!$M$3:$M$62&gt;=ROW()-2)),Overview!$Z$3:$Z$62)&amp;" "&amp;I55,E55)&amp;IF(AND(Q55="",LOOKUP(2,1/((Overview!$L$3:$L$62&lt;=ROW()-2)*(Overview!$M$3:$M$62&gt;=ROW()-2)),Overview!$W$3:$W$62)=""),"",", "&amp;IF(Q55&lt;&gt;"",Q55,"")&amp;IF(AND(Q55&lt;&gt;"",LOOKUP(2,1/((Overview!$L$3:$L$62&lt;=ROW()-2)*(Overview!$M$3:$M$62&gt;=ROW()-2)),Overview!$W$3:$W$62)&lt;&gt;"")," ","")&amp;LOOKUP(2,1/((Overview!$L$3:$L$62&lt;=ROW()-2)*(Overview!$M$3:$M$62&gt;=ROW()-2)),Overview!$W$3:$W$62)))</f>
        <v>YPDA + heat, 1, 24h</v>
      </c>
      <c r="S55" t="str">
        <f t="shared" si="1"/>
        <v>Duplicate resolved by Set</v>
      </c>
      <c r="U55" s="10" t="str">
        <f>IF(A55="","",O55&amp;IF(LOOKUP(2,1/((Overview!$L$3:$L$62&lt;=ROW()-2)*(Overview!$M$3:$M$62&gt;=ROW()-2)),Overview!$T$3:$T$62)&lt;&gt;"","_"&amp;LOOKUP(2,1/((Overview!$L$3:$L$62&lt;=ROW()-2)*(Overview!$M$3:$M$62&gt;=ROW()-2)),Overview!$T$3:$T$62),"")&amp;IF(Q55&lt;&gt;"","_"&amp;Q55,"")&amp;IF(E55&lt;&gt;"","_"&amp;E55,"")&amp;LOOKUP(2,1/((Overview!$L$3:$L$62&lt;=ROW()-2)*(Overview!$M$3:$M$62&gt;=ROW()-2)),Overview!$X$3:$X$62))</f>
        <v>16.08.26_24h_YPDA + heat, 1.jpg</v>
      </c>
      <c r="V55">
        <f t="shared" si="2"/>
        <v>2</v>
      </c>
      <c r="W55" t="str">
        <f>IF(U55="","",O55&amp;IF(LOOKUP(2,1/((Overview!$L$3:$L$62&lt;=ROW()-2)*(Overview!$M$3:$M$62&gt;=ROW()-2)),Overview!$T$3:$T$62)&lt;&gt;"","_"&amp;LOOKUP(2,1/((Overview!$L$3:$L$62&lt;=ROW()-2)*(Overview!$M$3:$M$62&gt;=ROW()-2)),Overview!$T$3:$T$62),"")&amp;"_"&amp;IF(LEFT(LOWER(TRIM(F55)),3)="set",TRIM(F55),"Set"&amp;TRIM(F55))&amp;IF(Q55&lt;&gt;"","_"&amp;Q55,"")&amp;IF(E55&lt;&gt;"","_"&amp;E55,"")&amp;LOOKUP(2,1/((Overview!$L$3:$L$62&lt;=ROW()-2)*(Overview!$M$3:$M$62&gt;=ROW()-2)),Overview!$X$3:$X$62))</f>
        <v>16.08.26_SetA_24h_YPDA + heat, 1.jpg</v>
      </c>
      <c r="X55">
        <f t="shared" si="3"/>
        <v>1</v>
      </c>
    </row>
    <row r="56" spans="1:24" ht="13.9" thickBot="1">
      <c r="A56" s="5">
        <f>IF(ROW()-2&gt;SUMIFS(Overview!$K$3:$K$62,Overview!$N$3:$N$62,"OK"),"",LOOKUP(2,1/((Overview!$L$3:$L$62&lt;=ROW()-2)*(Overview!$M$3:$M$62&gt;=ROW()-2)),Overview!$R$3:$R$62))</f>
        <v>2</v>
      </c>
      <c r="B56" s="5" t="str">
        <f>IF(A56="","",LOOKUP(2,1/((Overview!$L$3:$L$62&lt;=ROW()-2)*(Overview!$M$3:$M$62&gt;=ROW()-2)),Overview!$O$3:$O$62))</f>
        <v>16.08.26_24h</v>
      </c>
      <c r="C56" s="5" t="str">
        <f>IF(A56="","",LOOKUP(2,1/((Overview!$L$3:$L$62&lt;=ROW()-2)*(Overview!$M$3:$M$62&gt;=ROW()-2)),Overview!$Y$3:$Y$62))</f>
        <v>E2_16.08.26_24h</v>
      </c>
      <c r="D56" s="34">
        <f>IF(A56="","",ROW()-2-LOOKUP(2,1/((Overview!$L$3:$L$62&lt;=ROW()-2)*(Overview!$M$3:$M$62&gt;=ROW()-2)),Overview!$L$3:$L$62)+1)</f>
        <v>6</v>
      </c>
      <c r="E56" s="30" t="str">
        <f>IF(A56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56" s="34" t="str">
        <f>IF(A56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6" s="113" t="str">
        <f>IF(A56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6" s="30" t="str">
        <f>IF(A56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56" s="30">
        <f>IF(A56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56" s="34" t="str">
        <f>IF(A56="","","image"&amp;D56&amp;LOOKUP(2,1/((Overview!$L$3:$L$62&lt;=ROW()-2)*(Overview!$M$3:$M$62&gt;=ROW()-2)),Overview!$X$3:$X$62))</f>
        <v>image6.jpg</v>
      </c>
      <c r="K56" s="113" t="str">
        <f t="shared" si="4"/>
        <v>E2_16.08.26_24h_I006</v>
      </c>
      <c r="L56" s="40" t="str">
        <f>IF(U56="","",IF(V56=1,U56,IF(X56=1,W56,LEFT(W56,LEN(W56)-LEN(LOOKUP(2,1/((Overview!$L$3:$L$62&lt;=ROW()-2)*(Overview!$M$3:$M$62&gt;=ROW()-2)),Overview!$X$3:$X$62)))&amp;IF(COUNTIF($W$3:W56,W56)=1,"","__"&amp;COUNTIF($W$3:W56,W56))&amp;LOOKUP(2,1/((Overview!$L$3:$L$62&lt;=ROW()-2)*(Overview!$M$3:$M$62&gt;=ROW()-2)),Overview!$X$3:$X$62))))</f>
        <v>16.08.26_SetA_24h_YPDA + heat, 2.jpg</v>
      </c>
      <c r="M56" s="5" t="str">
        <f>IF(A56="","",LOOKUP(2,1/((Overview!$L$3:$L$62&lt;=ROW()-2)*(Overview!$M$3:$M$62&gt;=ROW()-2)),Overview!$U$3:$U$62))</f>
        <v>Arrangement 2</v>
      </c>
      <c r="N56" s="5" t="str">
        <f>IF(A56="","",LOOKUP(2,1/((Overview!$L$3:$L$62&lt;=ROW()-2)*(Overview!$M$3:$M$62&gt;=ROW()-2)),Overview!$V$3:$V$62))</f>
        <v>annotationSet 2</v>
      </c>
      <c r="O56" s="5" t="str">
        <f>IF(A56="","",LOOKUP(2,1/((Overview!$L$3:$L$62&lt;=ROW()-2)*(Overview!$M$3:$M$62&gt;=ROW()-2)),Overview!$B$3:$B$62))</f>
        <v>16.08.26</v>
      </c>
      <c r="P56" s="14">
        <f>IF(A56="","",LOOKUP(2,1/((Overview!$L$3:$L$62&lt;=ROW()-2)*(Overview!$M$3:$M$62&gt;=ROW()-2)),Overview!$S$3:$S$62))</f>
        <v>46250</v>
      </c>
      <c r="Q56" s="5" t="str">
        <f>IF(A56="","",LOOKUP(2,1/((Overview!$L$3:$L$62&lt;=ROW()-2)*(Overview!$M$3:$M$62&gt;=ROW()-2)),Overview!$C$3:$C$62))</f>
        <v>24h</v>
      </c>
      <c r="R56" s="22" t="str">
        <f>IF(E56="","",IF(AND(I56&lt;&gt;"",LOOKUP(2,1/((Overview!$L$3:$L$62&lt;=ROW()-2)*(Overview!$M$3:$M$62&gt;=ROW()-2)),Overview!$Z$3:$Z$62)&lt;&gt;""),LEFT(E56,LEN(E56)-LEN(I56))&amp;LOOKUP(2,1/((Overview!$L$3:$L$62&lt;=ROW()-2)*(Overview!$M$3:$M$62&gt;=ROW()-2)),Overview!$Z$3:$Z$62)&amp;" "&amp;I56,E56)&amp;IF(AND(Q56="",LOOKUP(2,1/((Overview!$L$3:$L$62&lt;=ROW()-2)*(Overview!$M$3:$M$62&gt;=ROW()-2)),Overview!$W$3:$W$62)=""),"",", "&amp;IF(Q56&lt;&gt;"",Q56,"")&amp;IF(AND(Q56&lt;&gt;"",LOOKUP(2,1/((Overview!$L$3:$L$62&lt;=ROW()-2)*(Overview!$M$3:$M$62&gt;=ROW()-2)),Overview!$W$3:$W$62)&lt;&gt;"")," ","")&amp;LOOKUP(2,1/((Overview!$L$3:$L$62&lt;=ROW()-2)*(Overview!$M$3:$M$62&gt;=ROW()-2)),Overview!$W$3:$W$62)))</f>
        <v>YPDA + heat, 2, 24h</v>
      </c>
      <c r="S56" t="str">
        <f t="shared" si="1"/>
        <v>Duplicate resolved by Set</v>
      </c>
      <c r="U56" s="10" t="str">
        <f>IF(A56="","",O56&amp;IF(LOOKUP(2,1/((Overview!$L$3:$L$62&lt;=ROW()-2)*(Overview!$M$3:$M$62&gt;=ROW()-2)),Overview!$T$3:$T$62)&lt;&gt;"","_"&amp;LOOKUP(2,1/((Overview!$L$3:$L$62&lt;=ROW()-2)*(Overview!$M$3:$M$62&gt;=ROW()-2)),Overview!$T$3:$T$62),"")&amp;IF(Q56&lt;&gt;"","_"&amp;Q56,"")&amp;IF(E56&lt;&gt;"","_"&amp;E56,"")&amp;LOOKUP(2,1/((Overview!$L$3:$L$62&lt;=ROW()-2)*(Overview!$M$3:$M$62&gt;=ROW()-2)),Overview!$X$3:$X$62))</f>
        <v>16.08.26_24h_YPDA + heat, 2.jpg</v>
      </c>
      <c r="V56">
        <f t="shared" si="2"/>
        <v>2</v>
      </c>
      <c r="W56" t="str">
        <f>IF(U56="","",O56&amp;IF(LOOKUP(2,1/((Overview!$L$3:$L$62&lt;=ROW()-2)*(Overview!$M$3:$M$62&gt;=ROW()-2)),Overview!$T$3:$T$62)&lt;&gt;"","_"&amp;LOOKUP(2,1/((Overview!$L$3:$L$62&lt;=ROW()-2)*(Overview!$M$3:$M$62&gt;=ROW()-2)),Overview!$T$3:$T$62),"")&amp;"_"&amp;IF(LEFT(LOWER(TRIM(F56)),3)="set",TRIM(F56),"Set"&amp;TRIM(F56))&amp;IF(Q56&lt;&gt;"","_"&amp;Q56,"")&amp;IF(E56&lt;&gt;"","_"&amp;E56,"")&amp;LOOKUP(2,1/((Overview!$L$3:$L$62&lt;=ROW()-2)*(Overview!$M$3:$M$62&gt;=ROW()-2)),Overview!$X$3:$X$62))</f>
        <v>16.08.26_SetA_24h_YPDA + heat, 2.jpg</v>
      </c>
      <c r="X56">
        <f t="shared" si="3"/>
        <v>1</v>
      </c>
    </row>
    <row r="57" spans="1:24" ht="13.9" thickBot="1">
      <c r="A57" s="5">
        <f>IF(ROW()-2&gt;SUMIFS(Overview!$K$3:$K$62,Overview!$N$3:$N$62,"OK"),"",LOOKUP(2,1/((Overview!$L$3:$L$62&lt;=ROW()-2)*(Overview!$M$3:$M$62&gt;=ROW()-2)),Overview!$R$3:$R$62))</f>
        <v>2</v>
      </c>
      <c r="B57" s="5" t="str">
        <f>IF(A57="","",LOOKUP(2,1/((Overview!$L$3:$L$62&lt;=ROW()-2)*(Overview!$M$3:$M$62&gt;=ROW()-2)),Overview!$O$3:$O$62))</f>
        <v>16.08.26_24h</v>
      </c>
      <c r="C57" s="5" t="str">
        <f>IF(A57="","",LOOKUP(2,1/((Overview!$L$3:$L$62&lt;=ROW()-2)*(Overview!$M$3:$M$62&gt;=ROW()-2)),Overview!$Y$3:$Y$62))</f>
        <v>E2_16.08.26_24h</v>
      </c>
      <c r="D57" s="34">
        <f>IF(A57="","",ROW()-2-LOOKUP(2,1/((Overview!$L$3:$L$62&lt;=ROW()-2)*(Overview!$M$3:$M$62&gt;=ROW()-2)),Overview!$L$3:$L$62)+1)</f>
        <v>7</v>
      </c>
      <c r="E57" s="30" t="str">
        <f>IF(A57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57" s="34" t="str">
        <f>IF(A57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7" s="113" t="str">
        <f>IF(A57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7" s="30" t="str">
        <f>IF(A57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57" s="30">
        <f>IF(A57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57" s="34" t="str">
        <f>IF(A57="","","image"&amp;D57&amp;LOOKUP(2,1/((Overview!$L$3:$L$62&lt;=ROW()-2)*(Overview!$M$3:$M$62&gt;=ROW()-2)),Overview!$X$3:$X$62))</f>
        <v>image7.jpg</v>
      </c>
      <c r="K57" s="113" t="str">
        <f t="shared" si="4"/>
        <v>E2_16.08.26_24h_I007</v>
      </c>
      <c r="L57" s="40" t="str">
        <f>IF(U57="","",IF(V57=1,U57,IF(X57=1,W57,LEFT(W57,LEN(W57)-LEN(LOOKUP(2,1/((Overview!$L$3:$L$62&lt;=ROW()-2)*(Overview!$M$3:$M$62&gt;=ROW()-2)),Overview!$X$3:$X$62)))&amp;IF(COUNTIF($W$3:W57,W57)=1,"","__"&amp;COUNTIF($W$3:W57,W57))&amp;LOOKUP(2,1/((Overview!$L$3:$L$62&lt;=ROW()-2)*(Overview!$M$3:$M$62&gt;=ROW()-2)),Overview!$X$3:$X$62))))</f>
        <v>16.08.26_SetA_24h_YPDA + heat, 3.jpg</v>
      </c>
      <c r="M57" s="5" t="str">
        <f>IF(A57="","",LOOKUP(2,1/((Overview!$L$3:$L$62&lt;=ROW()-2)*(Overview!$M$3:$M$62&gt;=ROW()-2)),Overview!$U$3:$U$62))</f>
        <v>Arrangement 2</v>
      </c>
      <c r="N57" s="5" t="str">
        <f>IF(A57="","",LOOKUP(2,1/((Overview!$L$3:$L$62&lt;=ROW()-2)*(Overview!$M$3:$M$62&gt;=ROW()-2)),Overview!$V$3:$V$62))</f>
        <v>annotationSet 2</v>
      </c>
      <c r="O57" s="5" t="str">
        <f>IF(A57="","",LOOKUP(2,1/((Overview!$L$3:$L$62&lt;=ROW()-2)*(Overview!$M$3:$M$62&gt;=ROW()-2)),Overview!$B$3:$B$62))</f>
        <v>16.08.26</v>
      </c>
      <c r="P57" s="14">
        <f>IF(A57="","",LOOKUP(2,1/((Overview!$L$3:$L$62&lt;=ROW()-2)*(Overview!$M$3:$M$62&gt;=ROW()-2)),Overview!$S$3:$S$62))</f>
        <v>46250</v>
      </c>
      <c r="Q57" s="5" t="str">
        <f>IF(A57="","",LOOKUP(2,1/((Overview!$L$3:$L$62&lt;=ROW()-2)*(Overview!$M$3:$M$62&gt;=ROW()-2)),Overview!$C$3:$C$62))</f>
        <v>24h</v>
      </c>
      <c r="R57" s="22" t="str">
        <f>IF(E57="","",IF(AND(I57&lt;&gt;"",LOOKUP(2,1/((Overview!$L$3:$L$62&lt;=ROW()-2)*(Overview!$M$3:$M$62&gt;=ROW()-2)),Overview!$Z$3:$Z$62)&lt;&gt;""),LEFT(E57,LEN(E57)-LEN(I57))&amp;LOOKUP(2,1/((Overview!$L$3:$L$62&lt;=ROW()-2)*(Overview!$M$3:$M$62&gt;=ROW()-2)),Overview!$Z$3:$Z$62)&amp;" "&amp;I57,E57)&amp;IF(AND(Q57="",LOOKUP(2,1/((Overview!$L$3:$L$62&lt;=ROW()-2)*(Overview!$M$3:$M$62&gt;=ROW()-2)),Overview!$W$3:$W$62)=""),"",", "&amp;IF(Q57&lt;&gt;"",Q57,"")&amp;IF(AND(Q57&lt;&gt;"",LOOKUP(2,1/((Overview!$L$3:$L$62&lt;=ROW()-2)*(Overview!$M$3:$M$62&gt;=ROW()-2)),Overview!$W$3:$W$62)&lt;&gt;"")," ","")&amp;LOOKUP(2,1/((Overview!$L$3:$L$62&lt;=ROW()-2)*(Overview!$M$3:$M$62&gt;=ROW()-2)),Overview!$W$3:$W$62)))</f>
        <v>YPDA + heat, 3, 24h</v>
      </c>
      <c r="S57" t="str">
        <f t="shared" si="1"/>
        <v>Duplicate resolved by Set</v>
      </c>
      <c r="U57" s="10" t="str">
        <f>IF(A57="","",O57&amp;IF(LOOKUP(2,1/((Overview!$L$3:$L$62&lt;=ROW()-2)*(Overview!$M$3:$M$62&gt;=ROW()-2)),Overview!$T$3:$T$62)&lt;&gt;"","_"&amp;LOOKUP(2,1/((Overview!$L$3:$L$62&lt;=ROW()-2)*(Overview!$M$3:$M$62&gt;=ROW()-2)),Overview!$T$3:$T$62),"")&amp;IF(Q57&lt;&gt;"","_"&amp;Q57,"")&amp;IF(E57&lt;&gt;"","_"&amp;E57,"")&amp;LOOKUP(2,1/((Overview!$L$3:$L$62&lt;=ROW()-2)*(Overview!$M$3:$M$62&gt;=ROW()-2)),Overview!$X$3:$X$62))</f>
        <v>16.08.26_24h_YPDA + heat, 3.jpg</v>
      </c>
      <c r="V57">
        <f t="shared" si="2"/>
        <v>2</v>
      </c>
      <c r="W57" t="str">
        <f>IF(U57="","",O57&amp;IF(LOOKUP(2,1/((Overview!$L$3:$L$62&lt;=ROW()-2)*(Overview!$M$3:$M$62&gt;=ROW()-2)),Overview!$T$3:$T$62)&lt;&gt;"","_"&amp;LOOKUP(2,1/((Overview!$L$3:$L$62&lt;=ROW()-2)*(Overview!$M$3:$M$62&gt;=ROW()-2)),Overview!$T$3:$T$62),"")&amp;"_"&amp;IF(LEFT(LOWER(TRIM(F57)),3)="set",TRIM(F57),"Set"&amp;TRIM(F57))&amp;IF(Q57&lt;&gt;"","_"&amp;Q57,"")&amp;IF(E57&lt;&gt;"","_"&amp;E57,"")&amp;LOOKUP(2,1/((Overview!$L$3:$L$62&lt;=ROW()-2)*(Overview!$M$3:$M$62&gt;=ROW()-2)),Overview!$X$3:$X$62))</f>
        <v>16.08.26_SetA_24h_YPDA + heat, 3.jpg</v>
      </c>
      <c r="X57">
        <f t="shared" si="3"/>
        <v>1</v>
      </c>
    </row>
    <row r="58" spans="1:24" ht="13.9" thickBot="1">
      <c r="A58" s="5">
        <f>IF(ROW()-2&gt;SUMIFS(Overview!$K$3:$K$62,Overview!$N$3:$N$62,"OK"),"",LOOKUP(2,1/((Overview!$L$3:$L$62&lt;=ROW()-2)*(Overview!$M$3:$M$62&gt;=ROW()-2)),Overview!$R$3:$R$62))</f>
        <v>2</v>
      </c>
      <c r="B58" s="5" t="str">
        <f>IF(A58="","",LOOKUP(2,1/((Overview!$L$3:$L$62&lt;=ROW()-2)*(Overview!$M$3:$M$62&gt;=ROW()-2)),Overview!$O$3:$O$62))</f>
        <v>16.08.26_24h</v>
      </c>
      <c r="C58" s="5" t="str">
        <f>IF(A58="","",LOOKUP(2,1/((Overview!$L$3:$L$62&lt;=ROW()-2)*(Overview!$M$3:$M$62&gt;=ROW()-2)),Overview!$Y$3:$Y$62))</f>
        <v>E2_16.08.26_24h</v>
      </c>
      <c r="D58" s="34">
        <f>IF(A58="","",ROW()-2-LOOKUP(2,1/((Overview!$L$3:$L$62&lt;=ROW()-2)*(Overview!$M$3:$M$62&gt;=ROW()-2)),Overview!$L$3:$L$62)+1)</f>
        <v>8</v>
      </c>
      <c r="E58" s="30" t="str">
        <f>IF(A58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58" s="34" t="str">
        <f>IF(A58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8" s="113" t="str">
        <f>IF(A58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8" s="30" t="str">
        <f>IF(A58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58" s="30">
        <f>IF(A58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58" s="34" t="str">
        <f>IF(A58="","","image"&amp;D58&amp;LOOKUP(2,1/((Overview!$L$3:$L$62&lt;=ROW()-2)*(Overview!$M$3:$M$62&gt;=ROW()-2)),Overview!$X$3:$X$62))</f>
        <v>image8.jpg</v>
      </c>
      <c r="K58" s="113" t="str">
        <f t="shared" si="4"/>
        <v>E2_16.08.26_24h_I008</v>
      </c>
      <c r="L58" s="40" t="str">
        <f>IF(U58="","",IF(V58=1,U58,IF(X58=1,W58,LEFT(W58,LEN(W58)-LEN(LOOKUP(2,1/((Overview!$L$3:$L$62&lt;=ROW()-2)*(Overview!$M$3:$M$62&gt;=ROW()-2)),Overview!$X$3:$X$62)))&amp;IF(COUNTIF($W$3:W58,W58)=1,"","__"&amp;COUNTIF($W$3:W58,W58))&amp;LOOKUP(2,1/((Overview!$L$3:$L$62&lt;=ROW()-2)*(Overview!$M$3:$M$62&gt;=ROW()-2)),Overview!$X$3:$X$62))))</f>
        <v>16.08.26_SetA_24h_YPDA + heat, 4.jpg</v>
      </c>
      <c r="M58" s="5" t="str">
        <f>IF(A58="","",LOOKUP(2,1/((Overview!$L$3:$L$62&lt;=ROW()-2)*(Overview!$M$3:$M$62&gt;=ROW()-2)),Overview!$U$3:$U$62))</f>
        <v>Arrangement 2</v>
      </c>
      <c r="N58" s="5" t="str">
        <f>IF(A58="","",LOOKUP(2,1/((Overview!$L$3:$L$62&lt;=ROW()-2)*(Overview!$M$3:$M$62&gt;=ROW()-2)),Overview!$V$3:$V$62))</f>
        <v>annotationSet 2</v>
      </c>
      <c r="O58" s="5" t="str">
        <f>IF(A58="","",LOOKUP(2,1/((Overview!$L$3:$L$62&lt;=ROW()-2)*(Overview!$M$3:$M$62&gt;=ROW()-2)),Overview!$B$3:$B$62))</f>
        <v>16.08.26</v>
      </c>
      <c r="P58" s="14">
        <f>IF(A58="","",LOOKUP(2,1/((Overview!$L$3:$L$62&lt;=ROW()-2)*(Overview!$M$3:$M$62&gt;=ROW()-2)),Overview!$S$3:$S$62))</f>
        <v>46250</v>
      </c>
      <c r="Q58" s="5" t="str">
        <f>IF(A58="","",LOOKUP(2,1/((Overview!$L$3:$L$62&lt;=ROW()-2)*(Overview!$M$3:$M$62&gt;=ROW()-2)),Overview!$C$3:$C$62))</f>
        <v>24h</v>
      </c>
      <c r="R58" s="22" t="str">
        <f>IF(E58="","",IF(AND(I58&lt;&gt;"",LOOKUP(2,1/((Overview!$L$3:$L$62&lt;=ROW()-2)*(Overview!$M$3:$M$62&gt;=ROW()-2)),Overview!$Z$3:$Z$62)&lt;&gt;""),LEFT(E58,LEN(E58)-LEN(I58))&amp;LOOKUP(2,1/((Overview!$L$3:$L$62&lt;=ROW()-2)*(Overview!$M$3:$M$62&gt;=ROW()-2)),Overview!$Z$3:$Z$62)&amp;" "&amp;I58,E58)&amp;IF(AND(Q58="",LOOKUP(2,1/((Overview!$L$3:$L$62&lt;=ROW()-2)*(Overview!$M$3:$M$62&gt;=ROW()-2)),Overview!$W$3:$W$62)=""),"",", "&amp;IF(Q58&lt;&gt;"",Q58,"")&amp;IF(AND(Q58&lt;&gt;"",LOOKUP(2,1/((Overview!$L$3:$L$62&lt;=ROW()-2)*(Overview!$M$3:$M$62&gt;=ROW()-2)),Overview!$W$3:$W$62)&lt;&gt;"")," ","")&amp;LOOKUP(2,1/((Overview!$L$3:$L$62&lt;=ROW()-2)*(Overview!$M$3:$M$62&gt;=ROW()-2)),Overview!$W$3:$W$62)))</f>
        <v>YPDA + heat, 4, 24h</v>
      </c>
      <c r="S58" t="str">
        <f t="shared" si="1"/>
        <v>Duplicate resolved by Set</v>
      </c>
      <c r="U58" s="10" t="str">
        <f>IF(A58="","",O58&amp;IF(LOOKUP(2,1/((Overview!$L$3:$L$62&lt;=ROW()-2)*(Overview!$M$3:$M$62&gt;=ROW()-2)),Overview!$T$3:$T$62)&lt;&gt;"","_"&amp;LOOKUP(2,1/((Overview!$L$3:$L$62&lt;=ROW()-2)*(Overview!$M$3:$M$62&gt;=ROW()-2)),Overview!$T$3:$T$62),"")&amp;IF(Q58&lt;&gt;"","_"&amp;Q58,"")&amp;IF(E58&lt;&gt;"","_"&amp;E58,"")&amp;LOOKUP(2,1/((Overview!$L$3:$L$62&lt;=ROW()-2)*(Overview!$M$3:$M$62&gt;=ROW()-2)),Overview!$X$3:$X$62))</f>
        <v>16.08.26_24h_YPDA + heat, 4.jpg</v>
      </c>
      <c r="V58">
        <f t="shared" si="2"/>
        <v>2</v>
      </c>
      <c r="W58" t="str">
        <f>IF(U58="","",O58&amp;IF(LOOKUP(2,1/((Overview!$L$3:$L$62&lt;=ROW()-2)*(Overview!$M$3:$M$62&gt;=ROW()-2)),Overview!$T$3:$T$62)&lt;&gt;"","_"&amp;LOOKUP(2,1/((Overview!$L$3:$L$62&lt;=ROW()-2)*(Overview!$M$3:$M$62&gt;=ROW()-2)),Overview!$T$3:$T$62),"")&amp;"_"&amp;IF(LEFT(LOWER(TRIM(F58)),3)="set",TRIM(F58),"Set"&amp;TRIM(F58))&amp;IF(Q58&lt;&gt;"","_"&amp;Q58,"")&amp;IF(E58&lt;&gt;"","_"&amp;E58,"")&amp;LOOKUP(2,1/((Overview!$L$3:$L$62&lt;=ROW()-2)*(Overview!$M$3:$M$62&gt;=ROW()-2)),Overview!$X$3:$X$62))</f>
        <v>16.08.26_SetA_24h_YPDA + heat, 4.jpg</v>
      </c>
      <c r="X58">
        <f t="shared" si="3"/>
        <v>1</v>
      </c>
    </row>
    <row r="59" spans="1:24" ht="13.9" thickBot="1">
      <c r="A59" s="5">
        <f>IF(ROW()-2&gt;SUMIFS(Overview!$K$3:$K$62,Overview!$N$3:$N$62,"OK"),"",LOOKUP(2,1/((Overview!$L$3:$L$62&lt;=ROW()-2)*(Overview!$M$3:$M$62&gt;=ROW()-2)),Overview!$R$3:$R$62))</f>
        <v>2</v>
      </c>
      <c r="B59" s="5" t="str">
        <f>IF(A59="","",LOOKUP(2,1/((Overview!$L$3:$L$62&lt;=ROW()-2)*(Overview!$M$3:$M$62&gt;=ROW()-2)),Overview!$O$3:$O$62))</f>
        <v>16.08.26_24h</v>
      </c>
      <c r="C59" s="5" t="str">
        <f>IF(A59="","",LOOKUP(2,1/((Overview!$L$3:$L$62&lt;=ROW()-2)*(Overview!$M$3:$M$62&gt;=ROW()-2)),Overview!$Y$3:$Y$62))</f>
        <v>E2_16.08.26_24h</v>
      </c>
      <c r="D59" s="34">
        <f>IF(A59="","",ROW()-2-LOOKUP(2,1/((Overview!$L$3:$L$62&lt;=ROW()-2)*(Overview!$M$3:$M$62&gt;=ROW()-2)),Overview!$L$3:$L$62)+1)</f>
        <v>9</v>
      </c>
      <c r="E59" s="31" t="str">
        <f>IF(A59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59" s="34" t="str">
        <f>IF(A59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59" s="113" t="str">
        <f>IF(A59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59" s="31" t="str">
        <f>IF(A59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59" s="31">
        <f>IF(A59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59" s="34" t="str">
        <f>IF(A59="","","image"&amp;D59&amp;LOOKUP(2,1/((Overview!$L$3:$L$62&lt;=ROW()-2)*(Overview!$M$3:$M$62&gt;=ROW()-2)),Overview!$X$3:$X$62))</f>
        <v>image9.jpg</v>
      </c>
      <c r="K59" s="113" t="str">
        <f t="shared" si="4"/>
        <v>E2_16.08.26_24h_I009</v>
      </c>
      <c r="L59" s="40" t="str">
        <f>IF(U59="","",IF(V59=1,U59,IF(X59=1,W59,LEFT(W59,LEN(W59)-LEN(LOOKUP(2,1/((Overview!$L$3:$L$62&lt;=ROW()-2)*(Overview!$M$3:$M$62&gt;=ROW()-2)),Overview!$X$3:$X$62)))&amp;IF(COUNTIF($W$3:W59,W59)=1,"","__"&amp;COUNTIF($W$3:W59,W59))&amp;LOOKUP(2,1/((Overview!$L$3:$L$62&lt;=ROW()-2)*(Overview!$M$3:$M$62&gt;=ROW()-2)),Overview!$X$3:$X$62))))</f>
        <v>16.08.26_SetA_24h_YPDA + salt, 1.jpg</v>
      </c>
      <c r="M59" s="5" t="str">
        <f>IF(A59="","",LOOKUP(2,1/((Overview!$L$3:$L$62&lt;=ROW()-2)*(Overview!$M$3:$M$62&gt;=ROW()-2)),Overview!$U$3:$U$62))</f>
        <v>Arrangement 2</v>
      </c>
      <c r="N59" s="5" t="str">
        <f>IF(A59="","",LOOKUP(2,1/((Overview!$L$3:$L$62&lt;=ROW()-2)*(Overview!$M$3:$M$62&gt;=ROW()-2)),Overview!$V$3:$V$62))</f>
        <v>annotationSet 2</v>
      </c>
      <c r="O59" s="5" t="str">
        <f>IF(A59="","",LOOKUP(2,1/((Overview!$L$3:$L$62&lt;=ROW()-2)*(Overview!$M$3:$M$62&gt;=ROW()-2)),Overview!$B$3:$B$62))</f>
        <v>16.08.26</v>
      </c>
      <c r="P59" s="14">
        <f>IF(A59="","",LOOKUP(2,1/((Overview!$L$3:$L$62&lt;=ROW()-2)*(Overview!$M$3:$M$62&gt;=ROW()-2)),Overview!$S$3:$S$62))</f>
        <v>46250</v>
      </c>
      <c r="Q59" s="5" t="str">
        <f>IF(A59="","",LOOKUP(2,1/((Overview!$L$3:$L$62&lt;=ROW()-2)*(Overview!$M$3:$M$62&gt;=ROW()-2)),Overview!$C$3:$C$62))</f>
        <v>24h</v>
      </c>
      <c r="R59" s="22" t="str">
        <f>IF(E59="","",IF(AND(I59&lt;&gt;"",LOOKUP(2,1/((Overview!$L$3:$L$62&lt;=ROW()-2)*(Overview!$M$3:$M$62&gt;=ROW()-2)),Overview!$Z$3:$Z$62)&lt;&gt;""),LEFT(E59,LEN(E59)-LEN(I59))&amp;LOOKUP(2,1/((Overview!$L$3:$L$62&lt;=ROW()-2)*(Overview!$M$3:$M$62&gt;=ROW()-2)),Overview!$Z$3:$Z$62)&amp;" "&amp;I59,E59)&amp;IF(AND(Q59="",LOOKUP(2,1/((Overview!$L$3:$L$62&lt;=ROW()-2)*(Overview!$M$3:$M$62&gt;=ROW()-2)),Overview!$W$3:$W$62)=""),"",", "&amp;IF(Q59&lt;&gt;"",Q59,"")&amp;IF(AND(Q59&lt;&gt;"",LOOKUP(2,1/((Overview!$L$3:$L$62&lt;=ROW()-2)*(Overview!$M$3:$M$62&gt;=ROW()-2)),Overview!$W$3:$W$62)&lt;&gt;"")," ","")&amp;LOOKUP(2,1/((Overview!$L$3:$L$62&lt;=ROW()-2)*(Overview!$M$3:$M$62&gt;=ROW()-2)),Overview!$W$3:$W$62)))</f>
        <v>YPDA + salt, 1, 24h</v>
      </c>
      <c r="S59" t="str">
        <f t="shared" si="1"/>
        <v>Duplicate resolved by Set</v>
      </c>
      <c r="U59" s="10" t="str">
        <f>IF(A59="","",O59&amp;IF(LOOKUP(2,1/((Overview!$L$3:$L$62&lt;=ROW()-2)*(Overview!$M$3:$M$62&gt;=ROW()-2)),Overview!$T$3:$T$62)&lt;&gt;"","_"&amp;LOOKUP(2,1/((Overview!$L$3:$L$62&lt;=ROW()-2)*(Overview!$M$3:$M$62&gt;=ROW()-2)),Overview!$T$3:$T$62),"")&amp;IF(Q59&lt;&gt;"","_"&amp;Q59,"")&amp;IF(E59&lt;&gt;"","_"&amp;E59,"")&amp;LOOKUP(2,1/((Overview!$L$3:$L$62&lt;=ROW()-2)*(Overview!$M$3:$M$62&gt;=ROW()-2)),Overview!$X$3:$X$62))</f>
        <v>16.08.26_24h_YPDA + salt, 1.jpg</v>
      </c>
      <c r="V59">
        <f t="shared" si="2"/>
        <v>2</v>
      </c>
      <c r="W59" t="str">
        <f>IF(U59="","",O59&amp;IF(LOOKUP(2,1/((Overview!$L$3:$L$62&lt;=ROW()-2)*(Overview!$M$3:$M$62&gt;=ROW()-2)),Overview!$T$3:$T$62)&lt;&gt;"","_"&amp;LOOKUP(2,1/((Overview!$L$3:$L$62&lt;=ROW()-2)*(Overview!$M$3:$M$62&gt;=ROW()-2)),Overview!$T$3:$T$62),"")&amp;"_"&amp;IF(LEFT(LOWER(TRIM(F59)),3)="set",TRIM(F59),"Set"&amp;TRIM(F59))&amp;IF(Q59&lt;&gt;"","_"&amp;Q59,"")&amp;IF(E59&lt;&gt;"","_"&amp;E59,"")&amp;LOOKUP(2,1/((Overview!$L$3:$L$62&lt;=ROW()-2)*(Overview!$M$3:$M$62&gt;=ROW()-2)),Overview!$X$3:$X$62))</f>
        <v>16.08.26_SetA_24h_YPDA + salt, 1.jpg</v>
      </c>
      <c r="X59">
        <f t="shared" si="3"/>
        <v>1</v>
      </c>
    </row>
    <row r="60" spans="1:24" ht="13.9" thickBot="1">
      <c r="A60" s="5">
        <f>IF(ROW()-2&gt;SUMIFS(Overview!$K$3:$K$62,Overview!$N$3:$N$62,"OK"),"",LOOKUP(2,1/((Overview!$L$3:$L$62&lt;=ROW()-2)*(Overview!$M$3:$M$62&gt;=ROW()-2)),Overview!$R$3:$R$62))</f>
        <v>2</v>
      </c>
      <c r="B60" s="5" t="str">
        <f>IF(A60="","",LOOKUP(2,1/((Overview!$L$3:$L$62&lt;=ROW()-2)*(Overview!$M$3:$M$62&gt;=ROW()-2)),Overview!$O$3:$O$62))</f>
        <v>16.08.26_24h</v>
      </c>
      <c r="C60" s="5" t="str">
        <f>IF(A60="","",LOOKUP(2,1/((Overview!$L$3:$L$62&lt;=ROW()-2)*(Overview!$M$3:$M$62&gt;=ROW()-2)),Overview!$Y$3:$Y$62))</f>
        <v>E2_16.08.26_24h</v>
      </c>
      <c r="D60" s="34">
        <f>IF(A60="","",ROW()-2-LOOKUP(2,1/((Overview!$L$3:$L$62&lt;=ROW()-2)*(Overview!$M$3:$M$62&gt;=ROW()-2)),Overview!$L$3:$L$62)+1)</f>
        <v>10</v>
      </c>
      <c r="E60" s="31" t="str">
        <f>IF(A60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60" s="34" t="str">
        <f>IF(A60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60" s="113" t="str">
        <f>IF(A60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0" s="31" t="str">
        <f>IF(A60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60" s="31">
        <f>IF(A60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60" s="34" t="str">
        <f>IF(A60="","","image"&amp;D60&amp;LOOKUP(2,1/((Overview!$L$3:$L$62&lt;=ROW()-2)*(Overview!$M$3:$M$62&gt;=ROW()-2)),Overview!$X$3:$X$62))</f>
        <v>image10.jpg</v>
      </c>
      <c r="K60" s="113" t="str">
        <f t="shared" si="4"/>
        <v>E2_16.08.26_24h_I010</v>
      </c>
      <c r="L60" s="40" t="str">
        <f>IF(U60="","",IF(V60=1,U60,IF(X60=1,W60,LEFT(W60,LEN(W60)-LEN(LOOKUP(2,1/((Overview!$L$3:$L$62&lt;=ROW()-2)*(Overview!$M$3:$M$62&gt;=ROW()-2)),Overview!$X$3:$X$62)))&amp;IF(COUNTIF($W$3:W60,W60)=1,"","__"&amp;COUNTIF($W$3:W60,W60))&amp;LOOKUP(2,1/((Overview!$L$3:$L$62&lt;=ROW()-2)*(Overview!$M$3:$M$62&gt;=ROW()-2)),Overview!$X$3:$X$62))))</f>
        <v>16.08.26_SetA_24h_YPDA + salt, 2.jpg</v>
      </c>
      <c r="M60" s="5" t="str">
        <f>IF(A60="","",LOOKUP(2,1/((Overview!$L$3:$L$62&lt;=ROW()-2)*(Overview!$M$3:$M$62&gt;=ROW()-2)),Overview!$U$3:$U$62))</f>
        <v>Arrangement 2</v>
      </c>
      <c r="N60" s="5" t="str">
        <f>IF(A60="","",LOOKUP(2,1/((Overview!$L$3:$L$62&lt;=ROW()-2)*(Overview!$M$3:$M$62&gt;=ROW()-2)),Overview!$V$3:$V$62))</f>
        <v>annotationSet 2</v>
      </c>
      <c r="O60" s="5" t="str">
        <f>IF(A60="","",LOOKUP(2,1/((Overview!$L$3:$L$62&lt;=ROW()-2)*(Overview!$M$3:$M$62&gt;=ROW()-2)),Overview!$B$3:$B$62))</f>
        <v>16.08.26</v>
      </c>
      <c r="P60" s="14">
        <f>IF(A60="","",LOOKUP(2,1/((Overview!$L$3:$L$62&lt;=ROW()-2)*(Overview!$M$3:$M$62&gt;=ROW()-2)),Overview!$S$3:$S$62))</f>
        <v>46250</v>
      </c>
      <c r="Q60" s="5" t="str">
        <f>IF(A60="","",LOOKUP(2,1/((Overview!$L$3:$L$62&lt;=ROW()-2)*(Overview!$M$3:$M$62&gt;=ROW()-2)),Overview!$C$3:$C$62))</f>
        <v>24h</v>
      </c>
      <c r="R60" s="22" t="str">
        <f>IF(E60="","",IF(AND(I60&lt;&gt;"",LOOKUP(2,1/((Overview!$L$3:$L$62&lt;=ROW()-2)*(Overview!$M$3:$M$62&gt;=ROW()-2)),Overview!$Z$3:$Z$62)&lt;&gt;""),LEFT(E60,LEN(E60)-LEN(I60))&amp;LOOKUP(2,1/((Overview!$L$3:$L$62&lt;=ROW()-2)*(Overview!$M$3:$M$62&gt;=ROW()-2)),Overview!$Z$3:$Z$62)&amp;" "&amp;I60,E60)&amp;IF(AND(Q60="",LOOKUP(2,1/((Overview!$L$3:$L$62&lt;=ROW()-2)*(Overview!$M$3:$M$62&gt;=ROW()-2)),Overview!$W$3:$W$62)=""),"",", "&amp;IF(Q60&lt;&gt;"",Q60,"")&amp;IF(AND(Q60&lt;&gt;"",LOOKUP(2,1/((Overview!$L$3:$L$62&lt;=ROW()-2)*(Overview!$M$3:$M$62&gt;=ROW()-2)),Overview!$W$3:$W$62)&lt;&gt;"")," ","")&amp;LOOKUP(2,1/((Overview!$L$3:$L$62&lt;=ROW()-2)*(Overview!$M$3:$M$62&gt;=ROW()-2)),Overview!$W$3:$W$62)))</f>
        <v>YPDA + salt, 2, 24h</v>
      </c>
      <c r="S60" t="str">
        <f t="shared" si="1"/>
        <v>Duplicate resolved by Set</v>
      </c>
      <c r="U60" s="10" t="str">
        <f>IF(A60="","",O60&amp;IF(LOOKUP(2,1/((Overview!$L$3:$L$62&lt;=ROW()-2)*(Overview!$M$3:$M$62&gt;=ROW()-2)),Overview!$T$3:$T$62)&lt;&gt;"","_"&amp;LOOKUP(2,1/((Overview!$L$3:$L$62&lt;=ROW()-2)*(Overview!$M$3:$M$62&gt;=ROW()-2)),Overview!$T$3:$T$62),"")&amp;IF(Q60&lt;&gt;"","_"&amp;Q60,"")&amp;IF(E60&lt;&gt;"","_"&amp;E60,"")&amp;LOOKUP(2,1/((Overview!$L$3:$L$62&lt;=ROW()-2)*(Overview!$M$3:$M$62&gt;=ROW()-2)),Overview!$X$3:$X$62))</f>
        <v>16.08.26_24h_YPDA + salt, 2.jpg</v>
      </c>
      <c r="V60">
        <f t="shared" si="2"/>
        <v>2</v>
      </c>
      <c r="W60" t="str">
        <f>IF(U60="","",O60&amp;IF(LOOKUP(2,1/((Overview!$L$3:$L$62&lt;=ROW()-2)*(Overview!$M$3:$M$62&gt;=ROW()-2)),Overview!$T$3:$T$62)&lt;&gt;"","_"&amp;LOOKUP(2,1/((Overview!$L$3:$L$62&lt;=ROW()-2)*(Overview!$M$3:$M$62&gt;=ROW()-2)),Overview!$T$3:$T$62),"")&amp;"_"&amp;IF(LEFT(LOWER(TRIM(F60)),3)="set",TRIM(F60),"Set"&amp;TRIM(F60))&amp;IF(Q60&lt;&gt;"","_"&amp;Q60,"")&amp;IF(E60&lt;&gt;"","_"&amp;E60,"")&amp;LOOKUP(2,1/((Overview!$L$3:$L$62&lt;=ROW()-2)*(Overview!$M$3:$M$62&gt;=ROW()-2)),Overview!$X$3:$X$62))</f>
        <v>16.08.26_SetA_24h_YPDA + salt, 2.jpg</v>
      </c>
      <c r="X60">
        <f t="shared" si="3"/>
        <v>1</v>
      </c>
    </row>
    <row r="61" spans="1:24" ht="13.9" thickBot="1">
      <c r="A61" s="5">
        <f>IF(ROW()-2&gt;SUMIFS(Overview!$K$3:$K$62,Overview!$N$3:$N$62,"OK"),"",LOOKUP(2,1/((Overview!$L$3:$L$62&lt;=ROW()-2)*(Overview!$M$3:$M$62&gt;=ROW()-2)),Overview!$R$3:$R$62))</f>
        <v>2</v>
      </c>
      <c r="B61" s="5" t="str">
        <f>IF(A61="","",LOOKUP(2,1/((Overview!$L$3:$L$62&lt;=ROW()-2)*(Overview!$M$3:$M$62&gt;=ROW()-2)),Overview!$O$3:$O$62))</f>
        <v>16.08.26_24h</v>
      </c>
      <c r="C61" s="5" t="str">
        <f>IF(A61="","",LOOKUP(2,1/((Overview!$L$3:$L$62&lt;=ROW()-2)*(Overview!$M$3:$M$62&gt;=ROW()-2)),Overview!$Y$3:$Y$62))</f>
        <v>E2_16.08.26_24h</v>
      </c>
      <c r="D61" s="34">
        <f>IF(A61="","",ROW()-2-LOOKUP(2,1/((Overview!$L$3:$L$62&lt;=ROW()-2)*(Overview!$M$3:$M$62&gt;=ROW()-2)),Overview!$L$3:$L$62)+1)</f>
        <v>11</v>
      </c>
      <c r="E61" s="31" t="str">
        <f>IF(A61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61" s="34" t="str">
        <f>IF(A61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61" s="113" t="str">
        <f>IF(A61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1" s="31" t="str">
        <f>IF(A61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61" s="31">
        <f>IF(A61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61" s="34" t="str">
        <f>IF(A61="","","image"&amp;D61&amp;LOOKUP(2,1/((Overview!$L$3:$L$62&lt;=ROW()-2)*(Overview!$M$3:$M$62&gt;=ROW()-2)),Overview!$X$3:$X$62))</f>
        <v>image11.jpg</v>
      </c>
      <c r="K61" s="113" t="str">
        <f t="shared" si="4"/>
        <v>E2_16.08.26_24h_I011</v>
      </c>
      <c r="L61" s="40" t="str">
        <f>IF(U61="","",IF(V61=1,U61,IF(X61=1,W61,LEFT(W61,LEN(W61)-LEN(LOOKUP(2,1/((Overview!$L$3:$L$62&lt;=ROW()-2)*(Overview!$M$3:$M$62&gt;=ROW()-2)),Overview!$X$3:$X$62)))&amp;IF(COUNTIF($W$3:W61,W61)=1,"","__"&amp;COUNTIF($W$3:W61,W61))&amp;LOOKUP(2,1/((Overview!$L$3:$L$62&lt;=ROW()-2)*(Overview!$M$3:$M$62&gt;=ROW()-2)),Overview!$X$3:$X$62))))</f>
        <v>16.08.26_SetA_24h_YPDA + salt, 3.jpg</v>
      </c>
      <c r="M61" s="5" t="str">
        <f>IF(A61="","",LOOKUP(2,1/((Overview!$L$3:$L$62&lt;=ROW()-2)*(Overview!$M$3:$M$62&gt;=ROW()-2)),Overview!$U$3:$U$62))</f>
        <v>Arrangement 2</v>
      </c>
      <c r="N61" s="5" t="str">
        <f>IF(A61="","",LOOKUP(2,1/((Overview!$L$3:$L$62&lt;=ROW()-2)*(Overview!$M$3:$M$62&gt;=ROW()-2)),Overview!$V$3:$V$62))</f>
        <v>annotationSet 2</v>
      </c>
      <c r="O61" s="5" t="str">
        <f>IF(A61="","",LOOKUP(2,1/((Overview!$L$3:$L$62&lt;=ROW()-2)*(Overview!$M$3:$M$62&gt;=ROW()-2)),Overview!$B$3:$B$62))</f>
        <v>16.08.26</v>
      </c>
      <c r="P61" s="14">
        <f>IF(A61="","",LOOKUP(2,1/((Overview!$L$3:$L$62&lt;=ROW()-2)*(Overview!$M$3:$M$62&gt;=ROW()-2)),Overview!$S$3:$S$62))</f>
        <v>46250</v>
      </c>
      <c r="Q61" s="5" t="str">
        <f>IF(A61="","",LOOKUP(2,1/((Overview!$L$3:$L$62&lt;=ROW()-2)*(Overview!$M$3:$M$62&gt;=ROW()-2)),Overview!$C$3:$C$62))</f>
        <v>24h</v>
      </c>
      <c r="R61" s="22" t="str">
        <f>IF(E61="","",IF(AND(I61&lt;&gt;"",LOOKUP(2,1/((Overview!$L$3:$L$62&lt;=ROW()-2)*(Overview!$M$3:$M$62&gt;=ROW()-2)),Overview!$Z$3:$Z$62)&lt;&gt;""),LEFT(E61,LEN(E61)-LEN(I61))&amp;LOOKUP(2,1/((Overview!$L$3:$L$62&lt;=ROW()-2)*(Overview!$M$3:$M$62&gt;=ROW()-2)),Overview!$Z$3:$Z$62)&amp;" "&amp;I61,E61)&amp;IF(AND(Q61="",LOOKUP(2,1/((Overview!$L$3:$L$62&lt;=ROW()-2)*(Overview!$M$3:$M$62&gt;=ROW()-2)),Overview!$W$3:$W$62)=""),"",", "&amp;IF(Q61&lt;&gt;"",Q61,"")&amp;IF(AND(Q61&lt;&gt;"",LOOKUP(2,1/((Overview!$L$3:$L$62&lt;=ROW()-2)*(Overview!$M$3:$M$62&gt;=ROW()-2)),Overview!$W$3:$W$62)&lt;&gt;"")," ","")&amp;LOOKUP(2,1/((Overview!$L$3:$L$62&lt;=ROW()-2)*(Overview!$M$3:$M$62&gt;=ROW()-2)),Overview!$W$3:$W$62)))</f>
        <v>YPDA + salt, 3, 24h</v>
      </c>
      <c r="S61" t="str">
        <f t="shared" si="1"/>
        <v>Duplicate resolved by Set</v>
      </c>
      <c r="U61" s="10" t="str">
        <f>IF(A61="","",O61&amp;IF(LOOKUP(2,1/((Overview!$L$3:$L$62&lt;=ROW()-2)*(Overview!$M$3:$M$62&gt;=ROW()-2)),Overview!$T$3:$T$62)&lt;&gt;"","_"&amp;LOOKUP(2,1/((Overview!$L$3:$L$62&lt;=ROW()-2)*(Overview!$M$3:$M$62&gt;=ROW()-2)),Overview!$T$3:$T$62),"")&amp;IF(Q61&lt;&gt;"","_"&amp;Q61,"")&amp;IF(E61&lt;&gt;"","_"&amp;E61,"")&amp;LOOKUP(2,1/((Overview!$L$3:$L$62&lt;=ROW()-2)*(Overview!$M$3:$M$62&gt;=ROW()-2)),Overview!$X$3:$X$62))</f>
        <v>16.08.26_24h_YPDA + salt, 3.jpg</v>
      </c>
      <c r="V61">
        <f t="shared" si="2"/>
        <v>2</v>
      </c>
      <c r="W61" t="str">
        <f>IF(U61="","",O61&amp;IF(LOOKUP(2,1/((Overview!$L$3:$L$62&lt;=ROW()-2)*(Overview!$M$3:$M$62&gt;=ROW()-2)),Overview!$T$3:$T$62)&lt;&gt;"","_"&amp;LOOKUP(2,1/((Overview!$L$3:$L$62&lt;=ROW()-2)*(Overview!$M$3:$M$62&gt;=ROW()-2)),Overview!$T$3:$T$62),"")&amp;"_"&amp;IF(LEFT(LOWER(TRIM(F61)),3)="set",TRIM(F61),"Set"&amp;TRIM(F61))&amp;IF(Q61&lt;&gt;"","_"&amp;Q61,"")&amp;IF(E61&lt;&gt;"","_"&amp;E61,"")&amp;LOOKUP(2,1/((Overview!$L$3:$L$62&lt;=ROW()-2)*(Overview!$M$3:$M$62&gt;=ROW()-2)),Overview!$X$3:$X$62))</f>
        <v>16.08.26_SetA_24h_YPDA + salt, 3.jpg</v>
      </c>
      <c r="X61">
        <f t="shared" si="3"/>
        <v>1</v>
      </c>
    </row>
    <row r="62" spans="1:24" ht="13.9" thickBot="1">
      <c r="A62" s="5">
        <f>IF(ROW()-2&gt;SUMIFS(Overview!$K$3:$K$62,Overview!$N$3:$N$62,"OK"),"",LOOKUP(2,1/((Overview!$L$3:$L$62&lt;=ROW()-2)*(Overview!$M$3:$M$62&gt;=ROW()-2)),Overview!$R$3:$R$62))</f>
        <v>2</v>
      </c>
      <c r="B62" s="5" t="str">
        <f>IF(A62="","",LOOKUP(2,1/((Overview!$L$3:$L$62&lt;=ROW()-2)*(Overview!$M$3:$M$62&gt;=ROW()-2)),Overview!$O$3:$O$62))</f>
        <v>16.08.26_24h</v>
      </c>
      <c r="C62" s="5" t="str">
        <f>IF(A62="","",LOOKUP(2,1/((Overview!$L$3:$L$62&lt;=ROW()-2)*(Overview!$M$3:$M$62&gt;=ROW()-2)),Overview!$Y$3:$Y$62))</f>
        <v>E2_16.08.26_24h</v>
      </c>
      <c r="D62" s="34">
        <f>IF(A62="","",ROW()-2-LOOKUP(2,1/((Overview!$L$3:$L$62&lt;=ROW()-2)*(Overview!$M$3:$M$62&gt;=ROW()-2)),Overview!$L$3:$L$62)+1)</f>
        <v>12</v>
      </c>
      <c r="E62" s="31" t="str">
        <f>IF(A62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62" s="34" t="str">
        <f>IF(A62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62" s="113" t="str">
        <f>IF(A62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2" s="31" t="str">
        <f>IF(A62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62" s="31">
        <f>IF(A62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62" s="34" t="str">
        <f>IF(A62="","","image"&amp;D62&amp;LOOKUP(2,1/((Overview!$L$3:$L$62&lt;=ROW()-2)*(Overview!$M$3:$M$62&gt;=ROW()-2)),Overview!$X$3:$X$62))</f>
        <v>image12.jpg</v>
      </c>
      <c r="K62" s="113" t="str">
        <f t="shared" si="4"/>
        <v>E2_16.08.26_24h_I012</v>
      </c>
      <c r="L62" s="40" t="str">
        <f>IF(U62="","",IF(V62=1,U62,IF(X62=1,W62,LEFT(W62,LEN(W62)-LEN(LOOKUP(2,1/((Overview!$L$3:$L$62&lt;=ROW()-2)*(Overview!$M$3:$M$62&gt;=ROW()-2)),Overview!$X$3:$X$62)))&amp;IF(COUNTIF($W$3:W62,W62)=1,"","__"&amp;COUNTIF($W$3:W62,W62))&amp;LOOKUP(2,1/((Overview!$L$3:$L$62&lt;=ROW()-2)*(Overview!$M$3:$M$62&gt;=ROW()-2)),Overview!$X$3:$X$62))))</f>
        <v>16.08.26_SetA_24h_YPDA + salt, 4.jpg</v>
      </c>
      <c r="M62" s="5" t="str">
        <f>IF(A62="","",LOOKUP(2,1/((Overview!$L$3:$L$62&lt;=ROW()-2)*(Overview!$M$3:$M$62&gt;=ROW()-2)),Overview!$U$3:$U$62))</f>
        <v>Arrangement 2</v>
      </c>
      <c r="N62" s="5" t="str">
        <f>IF(A62="","",LOOKUP(2,1/((Overview!$L$3:$L$62&lt;=ROW()-2)*(Overview!$M$3:$M$62&gt;=ROW()-2)),Overview!$V$3:$V$62))</f>
        <v>annotationSet 2</v>
      </c>
      <c r="O62" s="5" t="str">
        <f>IF(A62="","",LOOKUP(2,1/((Overview!$L$3:$L$62&lt;=ROW()-2)*(Overview!$M$3:$M$62&gt;=ROW()-2)),Overview!$B$3:$B$62))</f>
        <v>16.08.26</v>
      </c>
      <c r="P62" s="14">
        <f>IF(A62="","",LOOKUP(2,1/((Overview!$L$3:$L$62&lt;=ROW()-2)*(Overview!$M$3:$M$62&gt;=ROW()-2)),Overview!$S$3:$S$62))</f>
        <v>46250</v>
      </c>
      <c r="Q62" s="5" t="str">
        <f>IF(A62="","",LOOKUP(2,1/((Overview!$L$3:$L$62&lt;=ROW()-2)*(Overview!$M$3:$M$62&gt;=ROW()-2)),Overview!$C$3:$C$62))</f>
        <v>24h</v>
      </c>
      <c r="R62" s="22" t="str">
        <f>IF(E62="","",IF(AND(I62&lt;&gt;"",LOOKUP(2,1/((Overview!$L$3:$L$62&lt;=ROW()-2)*(Overview!$M$3:$M$62&gt;=ROW()-2)),Overview!$Z$3:$Z$62)&lt;&gt;""),LEFT(E62,LEN(E62)-LEN(I62))&amp;LOOKUP(2,1/((Overview!$L$3:$L$62&lt;=ROW()-2)*(Overview!$M$3:$M$62&gt;=ROW()-2)),Overview!$Z$3:$Z$62)&amp;" "&amp;I62,E62)&amp;IF(AND(Q62="",LOOKUP(2,1/((Overview!$L$3:$L$62&lt;=ROW()-2)*(Overview!$M$3:$M$62&gt;=ROW()-2)),Overview!$W$3:$W$62)=""),"",", "&amp;IF(Q62&lt;&gt;"",Q62,"")&amp;IF(AND(Q62&lt;&gt;"",LOOKUP(2,1/((Overview!$L$3:$L$62&lt;=ROW()-2)*(Overview!$M$3:$M$62&gt;=ROW()-2)),Overview!$W$3:$W$62)&lt;&gt;"")," ","")&amp;LOOKUP(2,1/((Overview!$L$3:$L$62&lt;=ROW()-2)*(Overview!$M$3:$M$62&gt;=ROW()-2)),Overview!$W$3:$W$62)))</f>
        <v>YPDA + salt, 4, 24h</v>
      </c>
      <c r="S62" t="str">
        <f t="shared" si="1"/>
        <v>Duplicate resolved by Set</v>
      </c>
      <c r="U62" s="10" t="str">
        <f>IF(A62="","",O62&amp;IF(LOOKUP(2,1/((Overview!$L$3:$L$62&lt;=ROW()-2)*(Overview!$M$3:$M$62&gt;=ROW()-2)),Overview!$T$3:$T$62)&lt;&gt;"","_"&amp;LOOKUP(2,1/((Overview!$L$3:$L$62&lt;=ROW()-2)*(Overview!$M$3:$M$62&gt;=ROW()-2)),Overview!$T$3:$T$62),"")&amp;IF(Q62&lt;&gt;"","_"&amp;Q62,"")&amp;IF(E62&lt;&gt;"","_"&amp;E62,"")&amp;LOOKUP(2,1/((Overview!$L$3:$L$62&lt;=ROW()-2)*(Overview!$M$3:$M$62&gt;=ROW()-2)),Overview!$X$3:$X$62))</f>
        <v>16.08.26_24h_YPDA + salt, 4.jpg</v>
      </c>
      <c r="V62">
        <f t="shared" si="2"/>
        <v>2</v>
      </c>
      <c r="W62" t="str">
        <f>IF(U62="","",O62&amp;IF(LOOKUP(2,1/((Overview!$L$3:$L$62&lt;=ROW()-2)*(Overview!$M$3:$M$62&gt;=ROW()-2)),Overview!$T$3:$T$62)&lt;&gt;"","_"&amp;LOOKUP(2,1/((Overview!$L$3:$L$62&lt;=ROW()-2)*(Overview!$M$3:$M$62&gt;=ROW()-2)),Overview!$T$3:$T$62),"")&amp;"_"&amp;IF(LEFT(LOWER(TRIM(F62)),3)="set",TRIM(F62),"Set"&amp;TRIM(F62))&amp;IF(Q62&lt;&gt;"","_"&amp;Q62,"")&amp;IF(E62&lt;&gt;"","_"&amp;E62,"")&amp;LOOKUP(2,1/((Overview!$L$3:$L$62&lt;=ROW()-2)*(Overview!$M$3:$M$62&gt;=ROW()-2)),Overview!$X$3:$X$62))</f>
        <v>16.08.26_SetA_24h_YPDA + salt, 4.jpg</v>
      </c>
      <c r="X62">
        <f t="shared" si="3"/>
        <v>1</v>
      </c>
    </row>
    <row r="63" spans="1:24" ht="13.9" thickBot="1">
      <c r="A63" s="5">
        <f>IF(ROW()-2&gt;SUMIFS(Overview!$K$3:$K$62,Overview!$N$3:$N$62,"OK"),"",LOOKUP(2,1/((Overview!$L$3:$L$62&lt;=ROW()-2)*(Overview!$M$3:$M$62&gt;=ROW()-2)),Overview!$R$3:$R$62))</f>
        <v>2</v>
      </c>
      <c r="B63" s="5" t="str">
        <f>IF(A63="","",LOOKUP(2,1/((Overview!$L$3:$L$62&lt;=ROW()-2)*(Overview!$M$3:$M$62&gt;=ROW()-2)),Overview!$O$3:$O$62))</f>
        <v>16.08.26_24h</v>
      </c>
      <c r="C63" s="5" t="str">
        <f>IF(A63="","",LOOKUP(2,1/((Overview!$L$3:$L$62&lt;=ROW()-2)*(Overview!$M$3:$M$62&gt;=ROW()-2)),Overview!$Y$3:$Y$62))</f>
        <v>E2_16.08.26_24h</v>
      </c>
      <c r="D63" s="45">
        <f>IF(A63="","",ROW()-2-LOOKUP(2,1/((Overview!$L$3:$L$62&lt;=ROW()-2)*(Overview!$M$3:$M$62&gt;=ROW()-2)),Overview!$L$3:$L$62)+1)</f>
        <v>13</v>
      </c>
      <c r="E63" s="24" t="str">
        <f>IF(A63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63" s="45" t="str">
        <f>IF(A63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3" s="113" t="str">
        <f>IF(A63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3" s="24" t="str">
        <f>IF(A63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63" s="24">
        <f>IF(A63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63" s="45" t="str">
        <f>IF(A63="","","image"&amp;D63&amp;LOOKUP(2,1/((Overview!$L$3:$L$62&lt;=ROW()-2)*(Overview!$M$3:$M$62&gt;=ROW()-2)),Overview!$X$3:$X$62))</f>
        <v>image13.jpg</v>
      </c>
      <c r="K63" s="113" t="str">
        <f t="shared" si="4"/>
        <v>E2_16.08.26_24h_I013</v>
      </c>
      <c r="L63" s="106" t="str">
        <f>IF(U63="","",IF(V63=1,U63,IF(X63=1,W63,LEFT(W63,LEN(W63)-LEN(LOOKUP(2,1/((Overview!$L$3:$L$62&lt;=ROW()-2)*(Overview!$M$3:$M$62&gt;=ROW()-2)),Overview!$X$3:$X$62)))&amp;IF(COUNTIF($W$3:W63,W63)=1,"","__"&amp;COUNTIF($W$3:W63,W63))&amp;LOOKUP(2,1/((Overview!$L$3:$L$62&lt;=ROW()-2)*(Overview!$M$3:$M$62&gt;=ROW()-2)),Overview!$X$3:$X$62))))</f>
        <v>16.08.26_SetB_24h_YPDA, 1.jpg</v>
      </c>
      <c r="M63" s="5" t="str">
        <f>IF(A63="","",LOOKUP(2,1/((Overview!$L$3:$L$62&lt;=ROW()-2)*(Overview!$M$3:$M$62&gt;=ROW()-2)),Overview!$U$3:$U$62))</f>
        <v>Arrangement 2</v>
      </c>
      <c r="N63" s="5" t="str">
        <f>IF(A63="","",LOOKUP(2,1/((Overview!$L$3:$L$62&lt;=ROW()-2)*(Overview!$M$3:$M$62&gt;=ROW()-2)),Overview!$V$3:$V$62))</f>
        <v>annotationSet 2</v>
      </c>
      <c r="O63" s="5" t="str">
        <f>IF(A63="","",LOOKUP(2,1/((Overview!$L$3:$L$62&lt;=ROW()-2)*(Overview!$M$3:$M$62&gt;=ROW()-2)),Overview!$B$3:$B$62))</f>
        <v>16.08.26</v>
      </c>
      <c r="P63" s="14">
        <f>IF(A63="","",LOOKUP(2,1/((Overview!$L$3:$L$62&lt;=ROW()-2)*(Overview!$M$3:$M$62&gt;=ROW()-2)),Overview!$S$3:$S$62))</f>
        <v>46250</v>
      </c>
      <c r="Q63" s="5" t="str">
        <f>IF(A63="","",LOOKUP(2,1/((Overview!$L$3:$L$62&lt;=ROW()-2)*(Overview!$M$3:$M$62&gt;=ROW()-2)),Overview!$C$3:$C$62))</f>
        <v>24h</v>
      </c>
      <c r="R63" s="22" t="str">
        <f>IF(E63="","",IF(AND(I63&lt;&gt;"",LOOKUP(2,1/((Overview!$L$3:$L$62&lt;=ROW()-2)*(Overview!$M$3:$M$62&gt;=ROW()-2)),Overview!$Z$3:$Z$62)&lt;&gt;""),LEFT(E63,LEN(E63)-LEN(I63))&amp;LOOKUP(2,1/((Overview!$L$3:$L$62&lt;=ROW()-2)*(Overview!$M$3:$M$62&gt;=ROW()-2)),Overview!$Z$3:$Z$62)&amp;" "&amp;I63,E63)&amp;IF(AND(Q63="",LOOKUP(2,1/((Overview!$L$3:$L$62&lt;=ROW()-2)*(Overview!$M$3:$M$62&gt;=ROW()-2)),Overview!$W$3:$W$62)=""),"",", "&amp;IF(Q63&lt;&gt;"",Q63,"")&amp;IF(AND(Q63&lt;&gt;"",LOOKUP(2,1/((Overview!$L$3:$L$62&lt;=ROW()-2)*(Overview!$M$3:$M$62&gt;=ROW()-2)),Overview!$W$3:$W$62)&lt;&gt;"")," ","")&amp;LOOKUP(2,1/((Overview!$L$3:$L$62&lt;=ROW()-2)*(Overview!$M$3:$M$62&gt;=ROW()-2)),Overview!$W$3:$W$62)))</f>
        <v>YPDA, 1, 24h</v>
      </c>
      <c r="S63" t="str">
        <f t="shared" si="1"/>
        <v>Duplicate resolved by Set</v>
      </c>
      <c r="U63" s="10" t="str">
        <f>IF(A63="","",O63&amp;IF(LOOKUP(2,1/((Overview!$L$3:$L$62&lt;=ROW()-2)*(Overview!$M$3:$M$62&gt;=ROW()-2)),Overview!$T$3:$T$62)&lt;&gt;"","_"&amp;LOOKUP(2,1/((Overview!$L$3:$L$62&lt;=ROW()-2)*(Overview!$M$3:$M$62&gt;=ROW()-2)),Overview!$T$3:$T$62),"")&amp;IF(Q63&lt;&gt;"","_"&amp;Q63,"")&amp;IF(E63&lt;&gt;"","_"&amp;E63,"")&amp;LOOKUP(2,1/((Overview!$L$3:$L$62&lt;=ROW()-2)*(Overview!$M$3:$M$62&gt;=ROW()-2)),Overview!$X$3:$X$62))</f>
        <v>16.08.26_24h_YPDA, 1.jpg</v>
      </c>
      <c r="V63">
        <f t="shared" si="2"/>
        <v>2</v>
      </c>
      <c r="W63" t="str">
        <f>IF(U63="","",O63&amp;IF(LOOKUP(2,1/((Overview!$L$3:$L$62&lt;=ROW()-2)*(Overview!$M$3:$M$62&gt;=ROW()-2)),Overview!$T$3:$T$62)&lt;&gt;"","_"&amp;LOOKUP(2,1/((Overview!$L$3:$L$62&lt;=ROW()-2)*(Overview!$M$3:$M$62&gt;=ROW()-2)),Overview!$T$3:$T$62),"")&amp;"_"&amp;IF(LEFT(LOWER(TRIM(F63)),3)="set",TRIM(F63),"Set"&amp;TRIM(F63))&amp;IF(Q63&lt;&gt;"","_"&amp;Q63,"")&amp;IF(E63&lt;&gt;"","_"&amp;E63,"")&amp;LOOKUP(2,1/((Overview!$L$3:$L$62&lt;=ROW()-2)*(Overview!$M$3:$M$62&gt;=ROW()-2)),Overview!$X$3:$X$62))</f>
        <v>16.08.26_SetB_24h_YPDA, 1.jpg</v>
      </c>
      <c r="X63">
        <f t="shared" si="3"/>
        <v>1</v>
      </c>
    </row>
    <row r="64" spans="1:24" ht="13.9" thickBot="1">
      <c r="A64" s="5">
        <f>IF(ROW()-2&gt;SUMIFS(Overview!$K$3:$K$62,Overview!$N$3:$N$62,"OK"),"",LOOKUP(2,1/((Overview!$L$3:$L$62&lt;=ROW()-2)*(Overview!$M$3:$M$62&gt;=ROW()-2)),Overview!$R$3:$R$62))</f>
        <v>2</v>
      </c>
      <c r="B64" s="5" t="str">
        <f>IF(A64="","",LOOKUP(2,1/((Overview!$L$3:$L$62&lt;=ROW()-2)*(Overview!$M$3:$M$62&gt;=ROW()-2)),Overview!$O$3:$O$62))</f>
        <v>16.08.26_24h</v>
      </c>
      <c r="C64" s="5" t="str">
        <f>IF(A64="","",LOOKUP(2,1/((Overview!$L$3:$L$62&lt;=ROW()-2)*(Overview!$M$3:$M$62&gt;=ROW()-2)),Overview!$Y$3:$Y$62))</f>
        <v>E2_16.08.26_24h</v>
      </c>
      <c r="D64" s="45">
        <f>IF(A64="","",ROW()-2-LOOKUP(2,1/((Overview!$L$3:$L$62&lt;=ROW()-2)*(Overview!$M$3:$M$62&gt;=ROW()-2)),Overview!$L$3:$L$62)+1)</f>
        <v>14</v>
      </c>
      <c r="E64" s="24" t="str">
        <f>IF(A64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64" s="45" t="str">
        <f>IF(A64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4" s="113" t="str">
        <f>IF(A64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4" s="24" t="str">
        <f>IF(A64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64" s="24">
        <f>IF(A64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64" s="45" t="str">
        <f>IF(A64="","","image"&amp;D64&amp;LOOKUP(2,1/((Overview!$L$3:$L$62&lt;=ROW()-2)*(Overview!$M$3:$M$62&gt;=ROW()-2)),Overview!$X$3:$X$62))</f>
        <v>image14.jpg</v>
      </c>
      <c r="K64" s="113" t="str">
        <f t="shared" si="4"/>
        <v>E2_16.08.26_24h_I014</v>
      </c>
      <c r="L64" s="106" t="str">
        <f>IF(U64="","",IF(V64=1,U64,IF(X64=1,W64,LEFT(W64,LEN(W64)-LEN(LOOKUP(2,1/((Overview!$L$3:$L$62&lt;=ROW()-2)*(Overview!$M$3:$M$62&gt;=ROW()-2)),Overview!$X$3:$X$62)))&amp;IF(COUNTIF($W$3:W64,W64)=1,"","__"&amp;COUNTIF($W$3:W64,W64))&amp;LOOKUP(2,1/((Overview!$L$3:$L$62&lt;=ROW()-2)*(Overview!$M$3:$M$62&gt;=ROW()-2)),Overview!$X$3:$X$62))))</f>
        <v>16.08.26_SetB_24h_YPDA, 2.jpg</v>
      </c>
      <c r="M64" s="5" t="str">
        <f>IF(A64="","",LOOKUP(2,1/((Overview!$L$3:$L$62&lt;=ROW()-2)*(Overview!$M$3:$M$62&gt;=ROW()-2)),Overview!$U$3:$U$62))</f>
        <v>Arrangement 2</v>
      </c>
      <c r="N64" s="5" t="str">
        <f>IF(A64="","",LOOKUP(2,1/((Overview!$L$3:$L$62&lt;=ROW()-2)*(Overview!$M$3:$M$62&gt;=ROW()-2)),Overview!$V$3:$V$62))</f>
        <v>annotationSet 2</v>
      </c>
      <c r="O64" s="5" t="str">
        <f>IF(A64="","",LOOKUP(2,1/((Overview!$L$3:$L$62&lt;=ROW()-2)*(Overview!$M$3:$M$62&gt;=ROW()-2)),Overview!$B$3:$B$62))</f>
        <v>16.08.26</v>
      </c>
      <c r="P64" s="14">
        <f>IF(A64="","",LOOKUP(2,1/((Overview!$L$3:$L$62&lt;=ROW()-2)*(Overview!$M$3:$M$62&gt;=ROW()-2)),Overview!$S$3:$S$62))</f>
        <v>46250</v>
      </c>
      <c r="Q64" s="5" t="str">
        <f>IF(A64="","",LOOKUP(2,1/((Overview!$L$3:$L$62&lt;=ROW()-2)*(Overview!$M$3:$M$62&gt;=ROW()-2)),Overview!$C$3:$C$62))</f>
        <v>24h</v>
      </c>
      <c r="R64" s="22" t="str">
        <f>IF(E64="","",IF(AND(I64&lt;&gt;"",LOOKUP(2,1/((Overview!$L$3:$L$62&lt;=ROW()-2)*(Overview!$M$3:$M$62&gt;=ROW()-2)),Overview!$Z$3:$Z$62)&lt;&gt;""),LEFT(E64,LEN(E64)-LEN(I64))&amp;LOOKUP(2,1/((Overview!$L$3:$L$62&lt;=ROW()-2)*(Overview!$M$3:$M$62&gt;=ROW()-2)),Overview!$Z$3:$Z$62)&amp;" "&amp;I64,E64)&amp;IF(AND(Q64="",LOOKUP(2,1/((Overview!$L$3:$L$62&lt;=ROW()-2)*(Overview!$M$3:$M$62&gt;=ROW()-2)),Overview!$W$3:$W$62)=""),"",", "&amp;IF(Q64&lt;&gt;"",Q64,"")&amp;IF(AND(Q64&lt;&gt;"",LOOKUP(2,1/((Overview!$L$3:$L$62&lt;=ROW()-2)*(Overview!$M$3:$M$62&gt;=ROW()-2)),Overview!$W$3:$W$62)&lt;&gt;"")," ","")&amp;LOOKUP(2,1/((Overview!$L$3:$L$62&lt;=ROW()-2)*(Overview!$M$3:$M$62&gt;=ROW()-2)),Overview!$W$3:$W$62)))</f>
        <v>YPDA, 2, 24h</v>
      </c>
      <c r="S64" t="str">
        <f t="shared" si="1"/>
        <v>Duplicate resolved by Set</v>
      </c>
      <c r="U64" s="10" t="str">
        <f>IF(A64="","",O64&amp;IF(LOOKUP(2,1/((Overview!$L$3:$L$62&lt;=ROW()-2)*(Overview!$M$3:$M$62&gt;=ROW()-2)),Overview!$T$3:$T$62)&lt;&gt;"","_"&amp;LOOKUP(2,1/((Overview!$L$3:$L$62&lt;=ROW()-2)*(Overview!$M$3:$M$62&gt;=ROW()-2)),Overview!$T$3:$T$62),"")&amp;IF(Q64&lt;&gt;"","_"&amp;Q64,"")&amp;IF(E64&lt;&gt;"","_"&amp;E64,"")&amp;LOOKUP(2,1/((Overview!$L$3:$L$62&lt;=ROW()-2)*(Overview!$M$3:$M$62&gt;=ROW()-2)),Overview!$X$3:$X$62))</f>
        <v>16.08.26_24h_YPDA, 2.jpg</v>
      </c>
      <c r="V64">
        <f t="shared" si="2"/>
        <v>2</v>
      </c>
      <c r="W64" t="str">
        <f>IF(U64="","",O64&amp;IF(LOOKUP(2,1/((Overview!$L$3:$L$62&lt;=ROW()-2)*(Overview!$M$3:$M$62&gt;=ROW()-2)),Overview!$T$3:$T$62)&lt;&gt;"","_"&amp;LOOKUP(2,1/((Overview!$L$3:$L$62&lt;=ROW()-2)*(Overview!$M$3:$M$62&gt;=ROW()-2)),Overview!$T$3:$T$62),"")&amp;"_"&amp;IF(LEFT(LOWER(TRIM(F64)),3)="set",TRIM(F64),"Set"&amp;TRIM(F64))&amp;IF(Q64&lt;&gt;"","_"&amp;Q64,"")&amp;IF(E64&lt;&gt;"","_"&amp;E64,"")&amp;LOOKUP(2,1/((Overview!$L$3:$L$62&lt;=ROW()-2)*(Overview!$M$3:$M$62&gt;=ROW()-2)),Overview!$X$3:$X$62))</f>
        <v>16.08.26_SetB_24h_YPDA, 2.jpg</v>
      </c>
      <c r="X64">
        <f t="shared" si="3"/>
        <v>1</v>
      </c>
    </row>
    <row r="65" spans="1:24" ht="13.9" thickBot="1">
      <c r="A65" s="5">
        <f>IF(ROW()-2&gt;SUMIFS(Overview!$K$3:$K$62,Overview!$N$3:$N$62,"OK"),"",LOOKUP(2,1/((Overview!$L$3:$L$62&lt;=ROW()-2)*(Overview!$M$3:$M$62&gt;=ROW()-2)),Overview!$R$3:$R$62))</f>
        <v>2</v>
      </c>
      <c r="B65" s="5" t="str">
        <f>IF(A65="","",LOOKUP(2,1/((Overview!$L$3:$L$62&lt;=ROW()-2)*(Overview!$M$3:$M$62&gt;=ROW()-2)),Overview!$O$3:$O$62))</f>
        <v>16.08.26_24h</v>
      </c>
      <c r="C65" s="5" t="str">
        <f>IF(A65="","",LOOKUP(2,1/((Overview!$L$3:$L$62&lt;=ROW()-2)*(Overview!$M$3:$M$62&gt;=ROW()-2)),Overview!$Y$3:$Y$62))</f>
        <v>E2_16.08.26_24h</v>
      </c>
      <c r="D65" s="45">
        <f>IF(A65="","",ROW()-2-LOOKUP(2,1/((Overview!$L$3:$L$62&lt;=ROW()-2)*(Overview!$M$3:$M$62&gt;=ROW()-2)),Overview!$L$3:$L$62)+1)</f>
        <v>15</v>
      </c>
      <c r="E65" s="24" t="str">
        <f>IF(A65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65" s="45" t="str">
        <f>IF(A65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5" s="113" t="str">
        <f>IF(A65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5" s="24" t="str">
        <f>IF(A65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65" s="24">
        <f>IF(A65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65" s="45" t="str">
        <f>IF(A65="","","image"&amp;D65&amp;LOOKUP(2,1/((Overview!$L$3:$L$62&lt;=ROW()-2)*(Overview!$M$3:$M$62&gt;=ROW()-2)),Overview!$X$3:$X$62))</f>
        <v>image15.jpg</v>
      </c>
      <c r="K65" s="113" t="str">
        <f t="shared" si="4"/>
        <v>E2_16.08.26_24h_I015</v>
      </c>
      <c r="L65" s="106" t="str">
        <f>IF(U65="","",IF(V65=1,U65,IF(X65=1,W65,LEFT(W65,LEN(W65)-LEN(LOOKUP(2,1/((Overview!$L$3:$L$62&lt;=ROW()-2)*(Overview!$M$3:$M$62&gt;=ROW()-2)),Overview!$X$3:$X$62)))&amp;IF(COUNTIF($W$3:W65,W65)=1,"","__"&amp;COUNTIF($W$3:W65,W65))&amp;LOOKUP(2,1/((Overview!$L$3:$L$62&lt;=ROW()-2)*(Overview!$M$3:$M$62&gt;=ROW()-2)),Overview!$X$3:$X$62))))</f>
        <v>16.08.26_SetB_24h_YPDA, 3.jpg</v>
      </c>
      <c r="M65" s="5" t="str">
        <f>IF(A65="","",LOOKUP(2,1/((Overview!$L$3:$L$62&lt;=ROW()-2)*(Overview!$M$3:$M$62&gt;=ROW()-2)),Overview!$U$3:$U$62))</f>
        <v>Arrangement 2</v>
      </c>
      <c r="N65" s="5" t="str">
        <f>IF(A65="","",LOOKUP(2,1/((Overview!$L$3:$L$62&lt;=ROW()-2)*(Overview!$M$3:$M$62&gt;=ROW()-2)),Overview!$V$3:$V$62))</f>
        <v>annotationSet 2</v>
      </c>
      <c r="O65" s="5" t="str">
        <f>IF(A65="","",LOOKUP(2,1/((Overview!$L$3:$L$62&lt;=ROW()-2)*(Overview!$M$3:$M$62&gt;=ROW()-2)),Overview!$B$3:$B$62))</f>
        <v>16.08.26</v>
      </c>
      <c r="P65" s="14">
        <f>IF(A65="","",LOOKUP(2,1/((Overview!$L$3:$L$62&lt;=ROW()-2)*(Overview!$M$3:$M$62&gt;=ROW()-2)),Overview!$S$3:$S$62))</f>
        <v>46250</v>
      </c>
      <c r="Q65" s="5" t="str">
        <f>IF(A65="","",LOOKUP(2,1/((Overview!$L$3:$L$62&lt;=ROW()-2)*(Overview!$M$3:$M$62&gt;=ROW()-2)),Overview!$C$3:$C$62))</f>
        <v>24h</v>
      </c>
      <c r="R65" s="22" t="str">
        <f>IF(E65="","",IF(AND(I65&lt;&gt;"",LOOKUP(2,1/((Overview!$L$3:$L$62&lt;=ROW()-2)*(Overview!$M$3:$M$62&gt;=ROW()-2)),Overview!$Z$3:$Z$62)&lt;&gt;""),LEFT(E65,LEN(E65)-LEN(I65))&amp;LOOKUP(2,1/((Overview!$L$3:$L$62&lt;=ROW()-2)*(Overview!$M$3:$M$62&gt;=ROW()-2)),Overview!$Z$3:$Z$62)&amp;" "&amp;I65,E65)&amp;IF(AND(Q65="",LOOKUP(2,1/((Overview!$L$3:$L$62&lt;=ROW()-2)*(Overview!$M$3:$M$62&gt;=ROW()-2)),Overview!$W$3:$W$62)=""),"",", "&amp;IF(Q65&lt;&gt;"",Q65,"")&amp;IF(AND(Q65&lt;&gt;"",LOOKUP(2,1/((Overview!$L$3:$L$62&lt;=ROW()-2)*(Overview!$M$3:$M$62&gt;=ROW()-2)),Overview!$W$3:$W$62)&lt;&gt;"")," ","")&amp;LOOKUP(2,1/((Overview!$L$3:$L$62&lt;=ROW()-2)*(Overview!$M$3:$M$62&gt;=ROW()-2)),Overview!$W$3:$W$62)))</f>
        <v>YPDA, 3, 24h</v>
      </c>
      <c r="S65" t="str">
        <f t="shared" si="1"/>
        <v>Duplicate resolved by Set</v>
      </c>
      <c r="U65" s="10" t="str">
        <f>IF(A65="","",O65&amp;IF(LOOKUP(2,1/((Overview!$L$3:$L$62&lt;=ROW()-2)*(Overview!$M$3:$M$62&gt;=ROW()-2)),Overview!$T$3:$T$62)&lt;&gt;"","_"&amp;LOOKUP(2,1/((Overview!$L$3:$L$62&lt;=ROW()-2)*(Overview!$M$3:$M$62&gt;=ROW()-2)),Overview!$T$3:$T$62),"")&amp;IF(Q65&lt;&gt;"","_"&amp;Q65,"")&amp;IF(E65&lt;&gt;"","_"&amp;E65,"")&amp;LOOKUP(2,1/((Overview!$L$3:$L$62&lt;=ROW()-2)*(Overview!$M$3:$M$62&gt;=ROW()-2)),Overview!$X$3:$X$62))</f>
        <v>16.08.26_24h_YPDA, 3.jpg</v>
      </c>
      <c r="V65">
        <f t="shared" si="2"/>
        <v>2</v>
      </c>
      <c r="W65" t="str">
        <f>IF(U65="","",O65&amp;IF(LOOKUP(2,1/((Overview!$L$3:$L$62&lt;=ROW()-2)*(Overview!$M$3:$M$62&gt;=ROW()-2)),Overview!$T$3:$T$62)&lt;&gt;"","_"&amp;LOOKUP(2,1/((Overview!$L$3:$L$62&lt;=ROW()-2)*(Overview!$M$3:$M$62&gt;=ROW()-2)),Overview!$T$3:$T$62),"")&amp;"_"&amp;IF(LEFT(LOWER(TRIM(F65)),3)="set",TRIM(F65),"Set"&amp;TRIM(F65))&amp;IF(Q65&lt;&gt;"","_"&amp;Q65,"")&amp;IF(E65&lt;&gt;"","_"&amp;E65,"")&amp;LOOKUP(2,1/((Overview!$L$3:$L$62&lt;=ROW()-2)*(Overview!$M$3:$M$62&gt;=ROW()-2)),Overview!$X$3:$X$62))</f>
        <v>16.08.26_SetB_24h_YPDA, 3.jpg</v>
      </c>
      <c r="X65">
        <f t="shared" si="3"/>
        <v>1</v>
      </c>
    </row>
    <row r="66" spans="1:24" ht="13.9" thickBot="1">
      <c r="A66" s="5">
        <f>IF(ROW()-2&gt;SUMIFS(Overview!$K$3:$K$62,Overview!$N$3:$N$62,"OK"),"",LOOKUP(2,1/((Overview!$L$3:$L$62&lt;=ROW()-2)*(Overview!$M$3:$M$62&gt;=ROW()-2)),Overview!$R$3:$R$62))</f>
        <v>2</v>
      </c>
      <c r="B66" s="5" t="str">
        <f>IF(A66="","",LOOKUP(2,1/((Overview!$L$3:$L$62&lt;=ROW()-2)*(Overview!$M$3:$M$62&gt;=ROW()-2)),Overview!$O$3:$O$62))</f>
        <v>16.08.26_24h</v>
      </c>
      <c r="C66" s="5" t="str">
        <f>IF(A66="","",LOOKUP(2,1/((Overview!$L$3:$L$62&lt;=ROW()-2)*(Overview!$M$3:$M$62&gt;=ROW()-2)),Overview!$Y$3:$Y$62))</f>
        <v>E2_16.08.26_24h</v>
      </c>
      <c r="D66" s="45">
        <f>IF(A66="","",ROW()-2-LOOKUP(2,1/((Overview!$L$3:$L$62&lt;=ROW()-2)*(Overview!$M$3:$M$62&gt;=ROW()-2)),Overview!$L$3:$L$62)+1)</f>
        <v>16</v>
      </c>
      <c r="E66" s="24" t="str">
        <f>IF(A66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66" s="45" t="str">
        <f>IF(A66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6" s="113" t="str">
        <f>IF(A66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6" s="24" t="str">
        <f>IF(A66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66" s="24">
        <f>IF(A66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66" s="45" t="str">
        <f>IF(A66="","","image"&amp;D66&amp;LOOKUP(2,1/((Overview!$L$3:$L$62&lt;=ROW()-2)*(Overview!$M$3:$M$62&gt;=ROW()-2)),Overview!$X$3:$X$62))</f>
        <v>image16.jpg</v>
      </c>
      <c r="K66" s="113" t="str">
        <f t="shared" si="4"/>
        <v>E2_16.08.26_24h_I016</v>
      </c>
      <c r="L66" s="106" t="str">
        <f>IF(U66="","",IF(V66=1,U66,IF(X66=1,W66,LEFT(W66,LEN(W66)-LEN(LOOKUP(2,1/((Overview!$L$3:$L$62&lt;=ROW()-2)*(Overview!$M$3:$M$62&gt;=ROW()-2)),Overview!$X$3:$X$62)))&amp;IF(COUNTIF($W$3:W66,W66)=1,"","__"&amp;COUNTIF($W$3:W66,W66))&amp;LOOKUP(2,1/((Overview!$L$3:$L$62&lt;=ROW()-2)*(Overview!$M$3:$M$62&gt;=ROW()-2)),Overview!$X$3:$X$62))))</f>
        <v>16.08.26_SetB_24h_YPDA, 4.jpg</v>
      </c>
      <c r="M66" s="5" t="str">
        <f>IF(A66="","",LOOKUP(2,1/((Overview!$L$3:$L$62&lt;=ROW()-2)*(Overview!$M$3:$M$62&gt;=ROW()-2)),Overview!$U$3:$U$62))</f>
        <v>Arrangement 2</v>
      </c>
      <c r="N66" s="5" t="str">
        <f>IF(A66="","",LOOKUP(2,1/((Overview!$L$3:$L$62&lt;=ROW()-2)*(Overview!$M$3:$M$62&gt;=ROW()-2)),Overview!$V$3:$V$62))</f>
        <v>annotationSet 2</v>
      </c>
      <c r="O66" s="5" t="str">
        <f>IF(A66="","",LOOKUP(2,1/((Overview!$L$3:$L$62&lt;=ROW()-2)*(Overview!$M$3:$M$62&gt;=ROW()-2)),Overview!$B$3:$B$62))</f>
        <v>16.08.26</v>
      </c>
      <c r="P66" s="14">
        <f>IF(A66="","",LOOKUP(2,1/((Overview!$L$3:$L$62&lt;=ROW()-2)*(Overview!$M$3:$M$62&gt;=ROW()-2)),Overview!$S$3:$S$62))</f>
        <v>46250</v>
      </c>
      <c r="Q66" s="5" t="str">
        <f>IF(A66="","",LOOKUP(2,1/((Overview!$L$3:$L$62&lt;=ROW()-2)*(Overview!$M$3:$M$62&gt;=ROW()-2)),Overview!$C$3:$C$62))</f>
        <v>24h</v>
      </c>
      <c r="R66" s="22" t="str">
        <f>IF(E66="","",IF(AND(I66&lt;&gt;"",LOOKUP(2,1/((Overview!$L$3:$L$62&lt;=ROW()-2)*(Overview!$M$3:$M$62&gt;=ROW()-2)),Overview!$Z$3:$Z$62)&lt;&gt;""),LEFT(E66,LEN(E66)-LEN(I66))&amp;LOOKUP(2,1/((Overview!$L$3:$L$62&lt;=ROW()-2)*(Overview!$M$3:$M$62&gt;=ROW()-2)),Overview!$Z$3:$Z$62)&amp;" "&amp;I66,E66)&amp;IF(AND(Q66="",LOOKUP(2,1/((Overview!$L$3:$L$62&lt;=ROW()-2)*(Overview!$M$3:$M$62&gt;=ROW()-2)),Overview!$W$3:$W$62)=""),"",", "&amp;IF(Q66&lt;&gt;"",Q66,"")&amp;IF(AND(Q66&lt;&gt;"",LOOKUP(2,1/((Overview!$L$3:$L$62&lt;=ROW()-2)*(Overview!$M$3:$M$62&gt;=ROW()-2)),Overview!$W$3:$W$62)&lt;&gt;"")," ","")&amp;LOOKUP(2,1/((Overview!$L$3:$L$62&lt;=ROW()-2)*(Overview!$M$3:$M$62&gt;=ROW()-2)),Overview!$W$3:$W$62)))</f>
        <v>YPDA, 4, 24h</v>
      </c>
      <c r="S66" t="str">
        <f t="shared" si="1"/>
        <v>Duplicate resolved by Set</v>
      </c>
      <c r="U66" s="10" t="str">
        <f>IF(A66="","",O66&amp;IF(LOOKUP(2,1/((Overview!$L$3:$L$62&lt;=ROW()-2)*(Overview!$M$3:$M$62&gt;=ROW()-2)),Overview!$T$3:$T$62)&lt;&gt;"","_"&amp;LOOKUP(2,1/((Overview!$L$3:$L$62&lt;=ROW()-2)*(Overview!$M$3:$M$62&gt;=ROW()-2)),Overview!$T$3:$T$62),"")&amp;IF(Q66&lt;&gt;"","_"&amp;Q66,"")&amp;IF(E66&lt;&gt;"","_"&amp;E66,"")&amp;LOOKUP(2,1/((Overview!$L$3:$L$62&lt;=ROW()-2)*(Overview!$M$3:$M$62&gt;=ROW()-2)),Overview!$X$3:$X$62))</f>
        <v>16.08.26_24h_YPDA, 4.jpg</v>
      </c>
      <c r="V66">
        <f t="shared" si="2"/>
        <v>2</v>
      </c>
      <c r="W66" t="str">
        <f>IF(U66="","",O66&amp;IF(LOOKUP(2,1/((Overview!$L$3:$L$62&lt;=ROW()-2)*(Overview!$M$3:$M$62&gt;=ROW()-2)),Overview!$T$3:$T$62)&lt;&gt;"","_"&amp;LOOKUP(2,1/((Overview!$L$3:$L$62&lt;=ROW()-2)*(Overview!$M$3:$M$62&gt;=ROW()-2)),Overview!$T$3:$T$62),"")&amp;"_"&amp;IF(LEFT(LOWER(TRIM(F66)),3)="set",TRIM(F66),"Set"&amp;TRIM(F66))&amp;IF(Q66&lt;&gt;"","_"&amp;Q66,"")&amp;IF(E66&lt;&gt;"","_"&amp;E66,"")&amp;LOOKUP(2,1/((Overview!$L$3:$L$62&lt;=ROW()-2)*(Overview!$M$3:$M$62&gt;=ROW()-2)),Overview!$X$3:$X$62))</f>
        <v>16.08.26_SetB_24h_YPDA, 4.jpg</v>
      </c>
      <c r="X66">
        <f t="shared" si="3"/>
        <v>1</v>
      </c>
    </row>
    <row r="67" spans="1:24" ht="13.9" thickBot="1">
      <c r="A67" s="5">
        <f>IF(ROW()-2&gt;SUMIFS(Overview!$K$3:$K$62,Overview!$N$3:$N$62,"OK"),"",LOOKUP(2,1/((Overview!$L$3:$L$62&lt;=ROW()-2)*(Overview!$M$3:$M$62&gt;=ROW()-2)),Overview!$R$3:$R$62))</f>
        <v>2</v>
      </c>
      <c r="B67" s="5" t="str">
        <f>IF(A67="","",LOOKUP(2,1/((Overview!$L$3:$L$62&lt;=ROW()-2)*(Overview!$M$3:$M$62&gt;=ROW()-2)),Overview!$O$3:$O$62))</f>
        <v>16.08.26_24h</v>
      </c>
      <c r="C67" s="5" t="str">
        <f>IF(A67="","",LOOKUP(2,1/((Overview!$L$3:$L$62&lt;=ROW()-2)*(Overview!$M$3:$M$62&gt;=ROW()-2)),Overview!$Y$3:$Y$62))</f>
        <v>E2_16.08.26_24h</v>
      </c>
      <c r="D67" s="45">
        <f>IF(A67="","",ROW()-2-LOOKUP(2,1/((Overview!$L$3:$L$62&lt;=ROW()-2)*(Overview!$M$3:$M$62&gt;=ROW()-2)),Overview!$L$3:$L$62)+1)</f>
        <v>17</v>
      </c>
      <c r="E67" s="30" t="str">
        <f>IF(A67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67" s="45" t="str">
        <f>IF(A67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7" s="113" t="str">
        <f>IF(A67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7" s="30" t="str">
        <f>IF(A67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67" s="30">
        <f>IF(A67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67" s="45" t="str">
        <f>IF(A67="","","image"&amp;D67&amp;LOOKUP(2,1/((Overview!$L$3:$L$62&lt;=ROW()-2)*(Overview!$M$3:$M$62&gt;=ROW()-2)),Overview!$X$3:$X$62))</f>
        <v>image17.jpg</v>
      </c>
      <c r="K67" s="113" t="str">
        <f t="shared" ref="K67:K98" si="5">IF(A67="","",C67&amp;"_I"&amp;TEXT(D67,"000"))</f>
        <v>E2_16.08.26_24h_I017</v>
      </c>
      <c r="L67" s="106" t="str">
        <f>IF(U67="","",IF(V67=1,U67,IF(X67=1,W67,LEFT(W67,LEN(W67)-LEN(LOOKUP(2,1/((Overview!$L$3:$L$62&lt;=ROW()-2)*(Overview!$M$3:$M$62&gt;=ROW()-2)),Overview!$X$3:$X$62)))&amp;IF(COUNTIF($W$3:W67,W67)=1,"","__"&amp;COUNTIF($W$3:W67,W67))&amp;LOOKUP(2,1/((Overview!$L$3:$L$62&lt;=ROW()-2)*(Overview!$M$3:$M$62&gt;=ROW()-2)),Overview!$X$3:$X$62))))</f>
        <v>16.08.26_SetB_24h_YPDA + heat, 1.jpg</v>
      </c>
      <c r="M67" s="5" t="str">
        <f>IF(A67="","",LOOKUP(2,1/((Overview!$L$3:$L$62&lt;=ROW()-2)*(Overview!$M$3:$M$62&gt;=ROW()-2)),Overview!$U$3:$U$62))</f>
        <v>Arrangement 2</v>
      </c>
      <c r="N67" s="5" t="str">
        <f>IF(A67="","",LOOKUP(2,1/((Overview!$L$3:$L$62&lt;=ROW()-2)*(Overview!$M$3:$M$62&gt;=ROW()-2)),Overview!$V$3:$V$62))</f>
        <v>annotationSet 2</v>
      </c>
      <c r="O67" s="5" t="str">
        <f>IF(A67="","",LOOKUP(2,1/((Overview!$L$3:$L$62&lt;=ROW()-2)*(Overview!$M$3:$M$62&gt;=ROW()-2)),Overview!$B$3:$B$62))</f>
        <v>16.08.26</v>
      </c>
      <c r="P67" s="14">
        <f>IF(A67="","",LOOKUP(2,1/((Overview!$L$3:$L$62&lt;=ROW()-2)*(Overview!$M$3:$M$62&gt;=ROW()-2)),Overview!$S$3:$S$62))</f>
        <v>46250</v>
      </c>
      <c r="Q67" s="5" t="str">
        <f>IF(A67="","",LOOKUP(2,1/((Overview!$L$3:$L$62&lt;=ROW()-2)*(Overview!$M$3:$M$62&gt;=ROW()-2)),Overview!$C$3:$C$62))</f>
        <v>24h</v>
      </c>
      <c r="R67" s="22" t="str">
        <f>IF(E67="","",IF(AND(I67&lt;&gt;"",LOOKUP(2,1/((Overview!$L$3:$L$62&lt;=ROW()-2)*(Overview!$M$3:$M$62&gt;=ROW()-2)),Overview!$Z$3:$Z$62)&lt;&gt;""),LEFT(E67,LEN(E67)-LEN(I67))&amp;LOOKUP(2,1/((Overview!$L$3:$L$62&lt;=ROW()-2)*(Overview!$M$3:$M$62&gt;=ROW()-2)),Overview!$Z$3:$Z$62)&amp;" "&amp;I67,E67)&amp;IF(AND(Q67="",LOOKUP(2,1/((Overview!$L$3:$L$62&lt;=ROW()-2)*(Overview!$M$3:$M$62&gt;=ROW()-2)),Overview!$W$3:$W$62)=""),"",", "&amp;IF(Q67&lt;&gt;"",Q67,"")&amp;IF(AND(Q67&lt;&gt;"",LOOKUP(2,1/((Overview!$L$3:$L$62&lt;=ROW()-2)*(Overview!$M$3:$M$62&gt;=ROW()-2)),Overview!$W$3:$W$62)&lt;&gt;"")," ","")&amp;LOOKUP(2,1/((Overview!$L$3:$L$62&lt;=ROW()-2)*(Overview!$M$3:$M$62&gt;=ROW()-2)),Overview!$W$3:$W$62)))</f>
        <v>YPDA + heat, 1, 24h</v>
      </c>
      <c r="S67" t="str">
        <f t="shared" si="1"/>
        <v>Duplicate resolved by Set</v>
      </c>
      <c r="U67" s="10" t="str">
        <f>IF(A67="","",O67&amp;IF(LOOKUP(2,1/((Overview!$L$3:$L$62&lt;=ROW()-2)*(Overview!$M$3:$M$62&gt;=ROW()-2)),Overview!$T$3:$T$62)&lt;&gt;"","_"&amp;LOOKUP(2,1/((Overview!$L$3:$L$62&lt;=ROW()-2)*(Overview!$M$3:$M$62&gt;=ROW()-2)),Overview!$T$3:$T$62),"")&amp;IF(Q67&lt;&gt;"","_"&amp;Q67,"")&amp;IF(E67&lt;&gt;"","_"&amp;E67,"")&amp;LOOKUP(2,1/((Overview!$L$3:$L$62&lt;=ROW()-2)*(Overview!$M$3:$M$62&gt;=ROW()-2)),Overview!$X$3:$X$62))</f>
        <v>16.08.26_24h_YPDA + heat, 1.jpg</v>
      </c>
      <c r="V67">
        <f t="shared" si="2"/>
        <v>2</v>
      </c>
      <c r="W67" t="str">
        <f>IF(U67="","",O67&amp;IF(LOOKUP(2,1/((Overview!$L$3:$L$62&lt;=ROW()-2)*(Overview!$M$3:$M$62&gt;=ROW()-2)),Overview!$T$3:$T$62)&lt;&gt;"","_"&amp;LOOKUP(2,1/((Overview!$L$3:$L$62&lt;=ROW()-2)*(Overview!$M$3:$M$62&gt;=ROW()-2)),Overview!$T$3:$T$62),"")&amp;"_"&amp;IF(LEFT(LOWER(TRIM(F67)),3)="set",TRIM(F67),"Set"&amp;TRIM(F67))&amp;IF(Q67&lt;&gt;"","_"&amp;Q67,"")&amp;IF(E67&lt;&gt;"","_"&amp;E67,"")&amp;LOOKUP(2,1/((Overview!$L$3:$L$62&lt;=ROW()-2)*(Overview!$M$3:$M$62&gt;=ROW()-2)),Overview!$X$3:$X$62))</f>
        <v>16.08.26_SetB_24h_YPDA + heat, 1.jpg</v>
      </c>
      <c r="X67">
        <f t="shared" si="3"/>
        <v>1</v>
      </c>
    </row>
    <row r="68" spans="1:24" ht="13.9" thickBot="1">
      <c r="A68" s="5">
        <f>IF(ROW()-2&gt;SUMIFS(Overview!$K$3:$K$62,Overview!$N$3:$N$62,"OK"),"",LOOKUP(2,1/((Overview!$L$3:$L$62&lt;=ROW()-2)*(Overview!$M$3:$M$62&gt;=ROW()-2)),Overview!$R$3:$R$62))</f>
        <v>2</v>
      </c>
      <c r="B68" s="5" t="str">
        <f>IF(A68="","",LOOKUP(2,1/((Overview!$L$3:$L$62&lt;=ROW()-2)*(Overview!$M$3:$M$62&gt;=ROW()-2)),Overview!$O$3:$O$62))</f>
        <v>16.08.26_24h</v>
      </c>
      <c r="C68" s="5" t="str">
        <f>IF(A68="","",LOOKUP(2,1/((Overview!$L$3:$L$62&lt;=ROW()-2)*(Overview!$M$3:$M$62&gt;=ROW()-2)),Overview!$Y$3:$Y$62))</f>
        <v>E2_16.08.26_24h</v>
      </c>
      <c r="D68" s="45">
        <f>IF(A68="","",ROW()-2-LOOKUP(2,1/((Overview!$L$3:$L$62&lt;=ROW()-2)*(Overview!$M$3:$M$62&gt;=ROW()-2)),Overview!$L$3:$L$62)+1)</f>
        <v>18</v>
      </c>
      <c r="E68" s="30" t="str">
        <f>IF(A68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68" s="45" t="str">
        <f>IF(A68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8" s="113" t="str">
        <f>IF(A68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8" s="30" t="str">
        <f>IF(A68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68" s="30">
        <f>IF(A68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68" s="45" t="str">
        <f>IF(A68="","","image"&amp;D68&amp;LOOKUP(2,1/((Overview!$L$3:$L$62&lt;=ROW()-2)*(Overview!$M$3:$M$62&gt;=ROW()-2)),Overview!$X$3:$X$62))</f>
        <v>image18.jpg</v>
      </c>
      <c r="K68" s="113" t="str">
        <f t="shared" si="5"/>
        <v>E2_16.08.26_24h_I018</v>
      </c>
      <c r="L68" s="106" t="str">
        <f>IF(U68="","",IF(V68=1,U68,IF(X68=1,W68,LEFT(W68,LEN(W68)-LEN(LOOKUP(2,1/((Overview!$L$3:$L$62&lt;=ROW()-2)*(Overview!$M$3:$M$62&gt;=ROW()-2)),Overview!$X$3:$X$62)))&amp;IF(COUNTIF($W$3:W68,W68)=1,"","__"&amp;COUNTIF($W$3:W68,W68))&amp;LOOKUP(2,1/((Overview!$L$3:$L$62&lt;=ROW()-2)*(Overview!$M$3:$M$62&gt;=ROW()-2)),Overview!$X$3:$X$62))))</f>
        <v>16.08.26_SetB_24h_YPDA + heat, 2.jpg</v>
      </c>
      <c r="M68" s="5" t="str">
        <f>IF(A68="","",LOOKUP(2,1/((Overview!$L$3:$L$62&lt;=ROW()-2)*(Overview!$M$3:$M$62&gt;=ROW()-2)),Overview!$U$3:$U$62))</f>
        <v>Arrangement 2</v>
      </c>
      <c r="N68" s="5" t="str">
        <f>IF(A68="","",LOOKUP(2,1/((Overview!$L$3:$L$62&lt;=ROW()-2)*(Overview!$M$3:$M$62&gt;=ROW()-2)),Overview!$V$3:$V$62))</f>
        <v>annotationSet 2</v>
      </c>
      <c r="O68" s="5" t="str">
        <f>IF(A68="","",LOOKUP(2,1/((Overview!$L$3:$L$62&lt;=ROW()-2)*(Overview!$M$3:$M$62&gt;=ROW()-2)),Overview!$B$3:$B$62))</f>
        <v>16.08.26</v>
      </c>
      <c r="P68" s="14">
        <f>IF(A68="","",LOOKUP(2,1/((Overview!$L$3:$L$62&lt;=ROW()-2)*(Overview!$M$3:$M$62&gt;=ROW()-2)),Overview!$S$3:$S$62))</f>
        <v>46250</v>
      </c>
      <c r="Q68" s="5" t="str">
        <f>IF(A68="","",LOOKUP(2,1/((Overview!$L$3:$L$62&lt;=ROW()-2)*(Overview!$M$3:$M$62&gt;=ROW()-2)),Overview!$C$3:$C$62))</f>
        <v>24h</v>
      </c>
      <c r="R68" s="22" t="str">
        <f>IF(E68="","",IF(AND(I68&lt;&gt;"",LOOKUP(2,1/((Overview!$L$3:$L$62&lt;=ROW()-2)*(Overview!$M$3:$M$62&gt;=ROW()-2)),Overview!$Z$3:$Z$62)&lt;&gt;""),LEFT(E68,LEN(E68)-LEN(I68))&amp;LOOKUP(2,1/((Overview!$L$3:$L$62&lt;=ROW()-2)*(Overview!$M$3:$M$62&gt;=ROW()-2)),Overview!$Z$3:$Z$62)&amp;" "&amp;I68,E68)&amp;IF(AND(Q68="",LOOKUP(2,1/((Overview!$L$3:$L$62&lt;=ROW()-2)*(Overview!$M$3:$M$62&gt;=ROW()-2)),Overview!$W$3:$W$62)=""),"",", "&amp;IF(Q68&lt;&gt;"",Q68,"")&amp;IF(AND(Q68&lt;&gt;"",LOOKUP(2,1/((Overview!$L$3:$L$62&lt;=ROW()-2)*(Overview!$M$3:$M$62&gt;=ROW()-2)),Overview!$W$3:$W$62)&lt;&gt;"")," ","")&amp;LOOKUP(2,1/((Overview!$L$3:$L$62&lt;=ROW()-2)*(Overview!$M$3:$M$62&gt;=ROW()-2)),Overview!$W$3:$W$62)))</f>
        <v>YPDA + heat, 2, 24h</v>
      </c>
      <c r="S68" t="str">
        <f t="shared" ref="S68:S131" si="6">IF(U68="","",IF(V68=1,"Unique",IF(TRIM(F68)="","Missing Set for duplicate",IF(X68=1,"Duplicate resolved by Set","Set still duplicated; suffix added"))))</f>
        <v>Duplicate resolved by Set</v>
      </c>
      <c r="U68" s="10" t="str">
        <f>IF(A68="","",O68&amp;IF(LOOKUP(2,1/((Overview!$L$3:$L$62&lt;=ROW()-2)*(Overview!$M$3:$M$62&gt;=ROW()-2)),Overview!$T$3:$T$62)&lt;&gt;"","_"&amp;LOOKUP(2,1/((Overview!$L$3:$L$62&lt;=ROW()-2)*(Overview!$M$3:$M$62&gt;=ROW()-2)),Overview!$T$3:$T$62),"")&amp;IF(Q68&lt;&gt;"","_"&amp;Q68,"")&amp;IF(E68&lt;&gt;"","_"&amp;E68,"")&amp;LOOKUP(2,1/((Overview!$L$3:$L$62&lt;=ROW()-2)*(Overview!$M$3:$M$62&gt;=ROW()-2)),Overview!$X$3:$X$62))</f>
        <v>16.08.26_24h_YPDA + heat, 2.jpg</v>
      </c>
      <c r="V68">
        <f t="shared" ref="V68:V131" si="7">IF(U68="","",COUNTIF($U$3:$U$152,U68))</f>
        <v>2</v>
      </c>
      <c r="W68" t="str">
        <f>IF(U68="","",O68&amp;IF(LOOKUP(2,1/((Overview!$L$3:$L$62&lt;=ROW()-2)*(Overview!$M$3:$M$62&gt;=ROW()-2)),Overview!$T$3:$T$62)&lt;&gt;"","_"&amp;LOOKUP(2,1/((Overview!$L$3:$L$62&lt;=ROW()-2)*(Overview!$M$3:$M$62&gt;=ROW()-2)),Overview!$T$3:$T$62),"")&amp;"_"&amp;IF(LEFT(LOWER(TRIM(F68)),3)="set",TRIM(F68),"Set"&amp;TRIM(F68))&amp;IF(Q68&lt;&gt;"","_"&amp;Q68,"")&amp;IF(E68&lt;&gt;"","_"&amp;E68,"")&amp;LOOKUP(2,1/((Overview!$L$3:$L$62&lt;=ROW()-2)*(Overview!$M$3:$M$62&gt;=ROW()-2)),Overview!$X$3:$X$62))</f>
        <v>16.08.26_SetB_24h_YPDA + heat, 2.jpg</v>
      </c>
      <c r="X68">
        <f t="shared" ref="X68:X131" si="8">IF(W68="","",COUNTIF($W$3:$W$152,W68))</f>
        <v>1</v>
      </c>
    </row>
    <row r="69" spans="1:24" ht="13.9" thickBot="1">
      <c r="A69" s="5">
        <f>IF(ROW()-2&gt;SUMIFS(Overview!$K$3:$K$62,Overview!$N$3:$N$62,"OK"),"",LOOKUP(2,1/((Overview!$L$3:$L$62&lt;=ROW()-2)*(Overview!$M$3:$M$62&gt;=ROW()-2)),Overview!$R$3:$R$62))</f>
        <v>2</v>
      </c>
      <c r="B69" s="5" t="str">
        <f>IF(A69="","",LOOKUP(2,1/((Overview!$L$3:$L$62&lt;=ROW()-2)*(Overview!$M$3:$M$62&gt;=ROW()-2)),Overview!$O$3:$O$62))</f>
        <v>16.08.26_24h</v>
      </c>
      <c r="C69" s="5" t="str">
        <f>IF(A69="","",LOOKUP(2,1/((Overview!$L$3:$L$62&lt;=ROW()-2)*(Overview!$M$3:$M$62&gt;=ROW()-2)),Overview!$Y$3:$Y$62))</f>
        <v>E2_16.08.26_24h</v>
      </c>
      <c r="D69" s="45">
        <f>IF(A69="","",ROW()-2-LOOKUP(2,1/((Overview!$L$3:$L$62&lt;=ROW()-2)*(Overview!$M$3:$M$62&gt;=ROW()-2)),Overview!$L$3:$L$62)+1)</f>
        <v>19</v>
      </c>
      <c r="E69" s="30" t="str">
        <f>IF(A69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69" s="45" t="str">
        <f>IF(A69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69" s="113" t="str">
        <f>IF(A69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69" s="30" t="str">
        <f>IF(A69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69" s="30">
        <f>IF(A69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69" s="45" t="str">
        <f>IF(A69="","","image"&amp;D69&amp;LOOKUP(2,1/((Overview!$L$3:$L$62&lt;=ROW()-2)*(Overview!$M$3:$M$62&gt;=ROW()-2)),Overview!$X$3:$X$62))</f>
        <v>image19.jpg</v>
      </c>
      <c r="K69" s="113" t="str">
        <f t="shared" si="5"/>
        <v>E2_16.08.26_24h_I019</v>
      </c>
      <c r="L69" s="106" t="str">
        <f>IF(U69="","",IF(V69=1,U69,IF(X69=1,W69,LEFT(W69,LEN(W69)-LEN(LOOKUP(2,1/((Overview!$L$3:$L$62&lt;=ROW()-2)*(Overview!$M$3:$M$62&gt;=ROW()-2)),Overview!$X$3:$X$62)))&amp;IF(COUNTIF($W$3:W69,W69)=1,"","__"&amp;COUNTIF($W$3:W69,W69))&amp;LOOKUP(2,1/((Overview!$L$3:$L$62&lt;=ROW()-2)*(Overview!$M$3:$M$62&gt;=ROW()-2)),Overview!$X$3:$X$62))))</f>
        <v>16.08.26_SetB_24h_YPDA + heat, 3.jpg</v>
      </c>
      <c r="M69" s="5" t="str">
        <f>IF(A69="","",LOOKUP(2,1/((Overview!$L$3:$L$62&lt;=ROW()-2)*(Overview!$M$3:$M$62&gt;=ROW()-2)),Overview!$U$3:$U$62))</f>
        <v>Arrangement 2</v>
      </c>
      <c r="N69" s="5" t="str">
        <f>IF(A69="","",LOOKUP(2,1/((Overview!$L$3:$L$62&lt;=ROW()-2)*(Overview!$M$3:$M$62&gt;=ROW()-2)),Overview!$V$3:$V$62))</f>
        <v>annotationSet 2</v>
      </c>
      <c r="O69" s="5" t="str">
        <f>IF(A69="","",LOOKUP(2,1/((Overview!$L$3:$L$62&lt;=ROW()-2)*(Overview!$M$3:$M$62&gt;=ROW()-2)),Overview!$B$3:$B$62))</f>
        <v>16.08.26</v>
      </c>
      <c r="P69" s="14">
        <f>IF(A69="","",LOOKUP(2,1/((Overview!$L$3:$L$62&lt;=ROW()-2)*(Overview!$M$3:$M$62&gt;=ROW()-2)),Overview!$S$3:$S$62))</f>
        <v>46250</v>
      </c>
      <c r="Q69" s="5" t="str">
        <f>IF(A69="","",LOOKUP(2,1/((Overview!$L$3:$L$62&lt;=ROW()-2)*(Overview!$M$3:$M$62&gt;=ROW()-2)),Overview!$C$3:$C$62))</f>
        <v>24h</v>
      </c>
      <c r="R69" s="22" t="str">
        <f>IF(E69="","",IF(AND(I69&lt;&gt;"",LOOKUP(2,1/((Overview!$L$3:$L$62&lt;=ROW()-2)*(Overview!$M$3:$M$62&gt;=ROW()-2)),Overview!$Z$3:$Z$62)&lt;&gt;""),LEFT(E69,LEN(E69)-LEN(I69))&amp;LOOKUP(2,1/((Overview!$L$3:$L$62&lt;=ROW()-2)*(Overview!$M$3:$M$62&gt;=ROW()-2)),Overview!$Z$3:$Z$62)&amp;" "&amp;I69,E69)&amp;IF(AND(Q69="",LOOKUP(2,1/((Overview!$L$3:$L$62&lt;=ROW()-2)*(Overview!$M$3:$M$62&gt;=ROW()-2)),Overview!$W$3:$W$62)=""),"",", "&amp;IF(Q69&lt;&gt;"",Q69,"")&amp;IF(AND(Q69&lt;&gt;"",LOOKUP(2,1/((Overview!$L$3:$L$62&lt;=ROW()-2)*(Overview!$M$3:$M$62&gt;=ROW()-2)),Overview!$W$3:$W$62)&lt;&gt;"")," ","")&amp;LOOKUP(2,1/((Overview!$L$3:$L$62&lt;=ROW()-2)*(Overview!$M$3:$M$62&gt;=ROW()-2)),Overview!$W$3:$W$62)))</f>
        <v>YPDA + heat, 3, 24h</v>
      </c>
      <c r="S69" t="str">
        <f t="shared" si="6"/>
        <v>Duplicate resolved by Set</v>
      </c>
      <c r="U69" s="10" t="str">
        <f>IF(A69="","",O69&amp;IF(LOOKUP(2,1/((Overview!$L$3:$L$62&lt;=ROW()-2)*(Overview!$M$3:$M$62&gt;=ROW()-2)),Overview!$T$3:$T$62)&lt;&gt;"","_"&amp;LOOKUP(2,1/((Overview!$L$3:$L$62&lt;=ROW()-2)*(Overview!$M$3:$M$62&gt;=ROW()-2)),Overview!$T$3:$T$62),"")&amp;IF(Q69&lt;&gt;"","_"&amp;Q69,"")&amp;IF(E69&lt;&gt;"","_"&amp;E69,"")&amp;LOOKUP(2,1/((Overview!$L$3:$L$62&lt;=ROW()-2)*(Overview!$M$3:$M$62&gt;=ROW()-2)),Overview!$X$3:$X$62))</f>
        <v>16.08.26_24h_YPDA + heat, 3.jpg</v>
      </c>
      <c r="V69">
        <f t="shared" si="7"/>
        <v>2</v>
      </c>
      <c r="W69" t="str">
        <f>IF(U69="","",O69&amp;IF(LOOKUP(2,1/((Overview!$L$3:$L$62&lt;=ROW()-2)*(Overview!$M$3:$M$62&gt;=ROW()-2)),Overview!$T$3:$T$62)&lt;&gt;"","_"&amp;LOOKUP(2,1/((Overview!$L$3:$L$62&lt;=ROW()-2)*(Overview!$M$3:$M$62&gt;=ROW()-2)),Overview!$T$3:$T$62),"")&amp;"_"&amp;IF(LEFT(LOWER(TRIM(F69)),3)="set",TRIM(F69),"Set"&amp;TRIM(F69))&amp;IF(Q69&lt;&gt;"","_"&amp;Q69,"")&amp;IF(E69&lt;&gt;"","_"&amp;E69,"")&amp;LOOKUP(2,1/((Overview!$L$3:$L$62&lt;=ROW()-2)*(Overview!$M$3:$M$62&gt;=ROW()-2)),Overview!$X$3:$X$62))</f>
        <v>16.08.26_SetB_24h_YPDA + heat, 3.jpg</v>
      </c>
      <c r="X69">
        <f t="shared" si="8"/>
        <v>1</v>
      </c>
    </row>
    <row r="70" spans="1:24" ht="13.9" thickBot="1">
      <c r="A70" s="5">
        <f>IF(ROW()-2&gt;SUMIFS(Overview!$K$3:$K$62,Overview!$N$3:$N$62,"OK"),"",LOOKUP(2,1/((Overview!$L$3:$L$62&lt;=ROW()-2)*(Overview!$M$3:$M$62&gt;=ROW()-2)),Overview!$R$3:$R$62))</f>
        <v>2</v>
      </c>
      <c r="B70" s="5" t="str">
        <f>IF(A70="","",LOOKUP(2,1/((Overview!$L$3:$L$62&lt;=ROW()-2)*(Overview!$M$3:$M$62&gt;=ROW()-2)),Overview!$O$3:$O$62))</f>
        <v>16.08.26_24h</v>
      </c>
      <c r="C70" s="5" t="str">
        <f>IF(A70="","",LOOKUP(2,1/((Overview!$L$3:$L$62&lt;=ROW()-2)*(Overview!$M$3:$M$62&gt;=ROW()-2)),Overview!$Y$3:$Y$62))</f>
        <v>E2_16.08.26_24h</v>
      </c>
      <c r="D70" s="45">
        <f>IF(A70="","",ROW()-2-LOOKUP(2,1/((Overview!$L$3:$L$62&lt;=ROW()-2)*(Overview!$M$3:$M$62&gt;=ROW()-2)),Overview!$L$3:$L$62)+1)</f>
        <v>20</v>
      </c>
      <c r="E70" s="30" t="str">
        <f>IF(A70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70" s="45" t="str">
        <f>IF(A70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70" s="113" t="str">
        <f>IF(A70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0" s="30" t="str">
        <f>IF(A70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70" s="30">
        <f>IF(A70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70" s="45" t="str">
        <f>IF(A70="","","image"&amp;D70&amp;LOOKUP(2,1/((Overview!$L$3:$L$62&lt;=ROW()-2)*(Overview!$M$3:$M$62&gt;=ROW()-2)),Overview!$X$3:$X$62))</f>
        <v>image20.jpg</v>
      </c>
      <c r="K70" s="113" t="str">
        <f t="shared" si="5"/>
        <v>E2_16.08.26_24h_I020</v>
      </c>
      <c r="L70" s="106" t="str">
        <f>IF(U70="","",IF(V70=1,U70,IF(X70=1,W70,LEFT(W70,LEN(W70)-LEN(LOOKUP(2,1/((Overview!$L$3:$L$62&lt;=ROW()-2)*(Overview!$M$3:$M$62&gt;=ROW()-2)),Overview!$X$3:$X$62)))&amp;IF(COUNTIF($W$3:W70,W70)=1,"","__"&amp;COUNTIF($W$3:W70,W70))&amp;LOOKUP(2,1/((Overview!$L$3:$L$62&lt;=ROW()-2)*(Overview!$M$3:$M$62&gt;=ROW()-2)),Overview!$X$3:$X$62))))</f>
        <v>16.08.26_SetB_24h_YPDA + heat, 4.jpg</v>
      </c>
      <c r="M70" s="5" t="str">
        <f>IF(A70="","",LOOKUP(2,1/((Overview!$L$3:$L$62&lt;=ROW()-2)*(Overview!$M$3:$M$62&gt;=ROW()-2)),Overview!$U$3:$U$62))</f>
        <v>Arrangement 2</v>
      </c>
      <c r="N70" s="5" t="str">
        <f>IF(A70="","",LOOKUP(2,1/((Overview!$L$3:$L$62&lt;=ROW()-2)*(Overview!$M$3:$M$62&gt;=ROW()-2)),Overview!$V$3:$V$62))</f>
        <v>annotationSet 2</v>
      </c>
      <c r="O70" s="5" t="str">
        <f>IF(A70="","",LOOKUP(2,1/((Overview!$L$3:$L$62&lt;=ROW()-2)*(Overview!$M$3:$M$62&gt;=ROW()-2)),Overview!$B$3:$B$62))</f>
        <v>16.08.26</v>
      </c>
      <c r="P70" s="14">
        <f>IF(A70="","",LOOKUP(2,1/((Overview!$L$3:$L$62&lt;=ROW()-2)*(Overview!$M$3:$M$62&gt;=ROW()-2)),Overview!$S$3:$S$62))</f>
        <v>46250</v>
      </c>
      <c r="Q70" s="5" t="str">
        <f>IF(A70="","",LOOKUP(2,1/((Overview!$L$3:$L$62&lt;=ROW()-2)*(Overview!$M$3:$M$62&gt;=ROW()-2)),Overview!$C$3:$C$62))</f>
        <v>24h</v>
      </c>
      <c r="R70" s="22" t="str">
        <f>IF(E70="","",IF(AND(I70&lt;&gt;"",LOOKUP(2,1/((Overview!$L$3:$L$62&lt;=ROW()-2)*(Overview!$M$3:$M$62&gt;=ROW()-2)),Overview!$Z$3:$Z$62)&lt;&gt;""),LEFT(E70,LEN(E70)-LEN(I70))&amp;LOOKUP(2,1/((Overview!$L$3:$L$62&lt;=ROW()-2)*(Overview!$M$3:$M$62&gt;=ROW()-2)),Overview!$Z$3:$Z$62)&amp;" "&amp;I70,E70)&amp;IF(AND(Q70="",LOOKUP(2,1/((Overview!$L$3:$L$62&lt;=ROW()-2)*(Overview!$M$3:$M$62&gt;=ROW()-2)),Overview!$W$3:$W$62)=""),"",", "&amp;IF(Q70&lt;&gt;"",Q70,"")&amp;IF(AND(Q70&lt;&gt;"",LOOKUP(2,1/((Overview!$L$3:$L$62&lt;=ROW()-2)*(Overview!$M$3:$M$62&gt;=ROW()-2)),Overview!$W$3:$W$62)&lt;&gt;"")," ","")&amp;LOOKUP(2,1/((Overview!$L$3:$L$62&lt;=ROW()-2)*(Overview!$M$3:$M$62&gt;=ROW()-2)),Overview!$W$3:$W$62)))</f>
        <v>YPDA + heat, 4, 24h</v>
      </c>
      <c r="S70" t="str">
        <f t="shared" si="6"/>
        <v>Duplicate resolved by Set</v>
      </c>
      <c r="U70" s="10" t="str">
        <f>IF(A70="","",O70&amp;IF(LOOKUP(2,1/((Overview!$L$3:$L$62&lt;=ROW()-2)*(Overview!$M$3:$M$62&gt;=ROW()-2)),Overview!$T$3:$T$62)&lt;&gt;"","_"&amp;LOOKUP(2,1/((Overview!$L$3:$L$62&lt;=ROW()-2)*(Overview!$M$3:$M$62&gt;=ROW()-2)),Overview!$T$3:$T$62),"")&amp;IF(Q70&lt;&gt;"","_"&amp;Q70,"")&amp;IF(E70&lt;&gt;"","_"&amp;E70,"")&amp;LOOKUP(2,1/((Overview!$L$3:$L$62&lt;=ROW()-2)*(Overview!$M$3:$M$62&gt;=ROW()-2)),Overview!$X$3:$X$62))</f>
        <v>16.08.26_24h_YPDA + heat, 4.jpg</v>
      </c>
      <c r="V70">
        <f t="shared" si="7"/>
        <v>2</v>
      </c>
      <c r="W70" t="str">
        <f>IF(U70="","",O70&amp;IF(LOOKUP(2,1/((Overview!$L$3:$L$62&lt;=ROW()-2)*(Overview!$M$3:$M$62&gt;=ROW()-2)),Overview!$T$3:$T$62)&lt;&gt;"","_"&amp;LOOKUP(2,1/((Overview!$L$3:$L$62&lt;=ROW()-2)*(Overview!$M$3:$M$62&gt;=ROW()-2)),Overview!$T$3:$T$62),"")&amp;"_"&amp;IF(LEFT(LOWER(TRIM(F70)),3)="set",TRIM(F70),"Set"&amp;TRIM(F70))&amp;IF(Q70&lt;&gt;"","_"&amp;Q70,"")&amp;IF(E70&lt;&gt;"","_"&amp;E70,"")&amp;LOOKUP(2,1/((Overview!$L$3:$L$62&lt;=ROW()-2)*(Overview!$M$3:$M$62&gt;=ROW()-2)),Overview!$X$3:$X$62))</f>
        <v>16.08.26_SetB_24h_YPDA + heat, 4.jpg</v>
      </c>
      <c r="X70">
        <f t="shared" si="8"/>
        <v>1</v>
      </c>
    </row>
    <row r="71" spans="1:24" ht="13.9" thickBot="1">
      <c r="A71" s="5">
        <f>IF(ROW()-2&gt;SUMIFS(Overview!$K$3:$K$62,Overview!$N$3:$N$62,"OK"),"",LOOKUP(2,1/((Overview!$L$3:$L$62&lt;=ROW()-2)*(Overview!$M$3:$M$62&gt;=ROW()-2)),Overview!$R$3:$R$62))</f>
        <v>2</v>
      </c>
      <c r="B71" s="5" t="str">
        <f>IF(A71="","",LOOKUP(2,1/((Overview!$L$3:$L$62&lt;=ROW()-2)*(Overview!$M$3:$M$62&gt;=ROW()-2)),Overview!$O$3:$O$62))</f>
        <v>16.08.26_24h</v>
      </c>
      <c r="C71" s="5" t="str">
        <f>IF(A71="","",LOOKUP(2,1/((Overview!$L$3:$L$62&lt;=ROW()-2)*(Overview!$M$3:$M$62&gt;=ROW()-2)),Overview!$Y$3:$Y$62))</f>
        <v>E2_16.08.26_24h</v>
      </c>
      <c r="D71" s="45">
        <f>IF(A71="","",ROW()-2-LOOKUP(2,1/((Overview!$L$3:$L$62&lt;=ROW()-2)*(Overview!$M$3:$M$62&gt;=ROW()-2)),Overview!$L$3:$L$62)+1)</f>
        <v>21</v>
      </c>
      <c r="E71" s="31" t="str">
        <f>IF(A71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71" s="45" t="str">
        <f>IF(A71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71" s="113" t="str">
        <f>IF(A71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1" s="31" t="str">
        <f>IF(A71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71" s="31">
        <f>IF(A71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71" s="45" t="str">
        <f>IF(A71="","","image"&amp;D71&amp;LOOKUP(2,1/((Overview!$L$3:$L$62&lt;=ROW()-2)*(Overview!$M$3:$M$62&gt;=ROW()-2)),Overview!$X$3:$X$62))</f>
        <v>image21.jpg</v>
      </c>
      <c r="K71" s="113" t="str">
        <f t="shared" si="5"/>
        <v>E2_16.08.26_24h_I021</v>
      </c>
      <c r="L71" s="106" t="str">
        <f>IF(U71="","",IF(V71=1,U71,IF(X71=1,W71,LEFT(W71,LEN(W71)-LEN(LOOKUP(2,1/((Overview!$L$3:$L$62&lt;=ROW()-2)*(Overview!$M$3:$M$62&gt;=ROW()-2)),Overview!$X$3:$X$62)))&amp;IF(COUNTIF($W$3:W71,W71)=1,"","__"&amp;COUNTIF($W$3:W71,W71))&amp;LOOKUP(2,1/((Overview!$L$3:$L$62&lt;=ROW()-2)*(Overview!$M$3:$M$62&gt;=ROW()-2)),Overview!$X$3:$X$62))))</f>
        <v>16.08.26_SetB_24h_YPDA + salt, 1.jpg</v>
      </c>
      <c r="M71" s="5" t="str">
        <f>IF(A71="","",LOOKUP(2,1/((Overview!$L$3:$L$62&lt;=ROW()-2)*(Overview!$M$3:$M$62&gt;=ROW()-2)),Overview!$U$3:$U$62))</f>
        <v>Arrangement 2</v>
      </c>
      <c r="N71" s="5" t="str">
        <f>IF(A71="","",LOOKUP(2,1/((Overview!$L$3:$L$62&lt;=ROW()-2)*(Overview!$M$3:$M$62&gt;=ROW()-2)),Overview!$V$3:$V$62))</f>
        <v>annotationSet 2</v>
      </c>
      <c r="O71" s="5" t="str">
        <f>IF(A71="","",LOOKUP(2,1/((Overview!$L$3:$L$62&lt;=ROW()-2)*(Overview!$M$3:$M$62&gt;=ROW()-2)),Overview!$B$3:$B$62))</f>
        <v>16.08.26</v>
      </c>
      <c r="P71" s="14">
        <f>IF(A71="","",LOOKUP(2,1/((Overview!$L$3:$L$62&lt;=ROW()-2)*(Overview!$M$3:$M$62&gt;=ROW()-2)),Overview!$S$3:$S$62))</f>
        <v>46250</v>
      </c>
      <c r="Q71" s="5" t="str">
        <f>IF(A71="","",LOOKUP(2,1/((Overview!$L$3:$L$62&lt;=ROW()-2)*(Overview!$M$3:$M$62&gt;=ROW()-2)),Overview!$C$3:$C$62))</f>
        <v>24h</v>
      </c>
      <c r="R71" s="22" t="str">
        <f>IF(E71="","",IF(AND(I71&lt;&gt;"",LOOKUP(2,1/((Overview!$L$3:$L$62&lt;=ROW()-2)*(Overview!$M$3:$M$62&gt;=ROW()-2)),Overview!$Z$3:$Z$62)&lt;&gt;""),LEFT(E71,LEN(E71)-LEN(I71))&amp;LOOKUP(2,1/((Overview!$L$3:$L$62&lt;=ROW()-2)*(Overview!$M$3:$M$62&gt;=ROW()-2)),Overview!$Z$3:$Z$62)&amp;" "&amp;I71,E71)&amp;IF(AND(Q71="",LOOKUP(2,1/((Overview!$L$3:$L$62&lt;=ROW()-2)*(Overview!$M$3:$M$62&gt;=ROW()-2)),Overview!$W$3:$W$62)=""),"",", "&amp;IF(Q71&lt;&gt;"",Q71,"")&amp;IF(AND(Q71&lt;&gt;"",LOOKUP(2,1/((Overview!$L$3:$L$62&lt;=ROW()-2)*(Overview!$M$3:$M$62&gt;=ROW()-2)),Overview!$W$3:$W$62)&lt;&gt;"")," ","")&amp;LOOKUP(2,1/((Overview!$L$3:$L$62&lt;=ROW()-2)*(Overview!$M$3:$M$62&gt;=ROW()-2)),Overview!$W$3:$W$62)))</f>
        <v>YPDA + salt, 1, 24h</v>
      </c>
      <c r="S71" t="str">
        <f t="shared" si="6"/>
        <v>Duplicate resolved by Set</v>
      </c>
      <c r="U71" s="10" t="str">
        <f>IF(A71="","",O71&amp;IF(LOOKUP(2,1/((Overview!$L$3:$L$62&lt;=ROW()-2)*(Overview!$M$3:$M$62&gt;=ROW()-2)),Overview!$T$3:$T$62)&lt;&gt;"","_"&amp;LOOKUP(2,1/((Overview!$L$3:$L$62&lt;=ROW()-2)*(Overview!$M$3:$M$62&gt;=ROW()-2)),Overview!$T$3:$T$62),"")&amp;IF(Q71&lt;&gt;"","_"&amp;Q71,"")&amp;IF(E71&lt;&gt;"","_"&amp;E71,"")&amp;LOOKUP(2,1/((Overview!$L$3:$L$62&lt;=ROW()-2)*(Overview!$M$3:$M$62&gt;=ROW()-2)),Overview!$X$3:$X$62))</f>
        <v>16.08.26_24h_YPDA + salt, 1.jpg</v>
      </c>
      <c r="V71">
        <f t="shared" si="7"/>
        <v>2</v>
      </c>
      <c r="W71" t="str">
        <f>IF(U71="","",O71&amp;IF(LOOKUP(2,1/((Overview!$L$3:$L$62&lt;=ROW()-2)*(Overview!$M$3:$M$62&gt;=ROW()-2)),Overview!$T$3:$T$62)&lt;&gt;"","_"&amp;LOOKUP(2,1/((Overview!$L$3:$L$62&lt;=ROW()-2)*(Overview!$M$3:$M$62&gt;=ROW()-2)),Overview!$T$3:$T$62),"")&amp;"_"&amp;IF(LEFT(LOWER(TRIM(F71)),3)="set",TRIM(F71),"Set"&amp;TRIM(F71))&amp;IF(Q71&lt;&gt;"","_"&amp;Q71,"")&amp;IF(E71&lt;&gt;"","_"&amp;E71,"")&amp;LOOKUP(2,1/((Overview!$L$3:$L$62&lt;=ROW()-2)*(Overview!$M$3:$M$62&gt;=ROW()-2)),Overview!$X$3:$X$62))</f>
        <v>16.08.26_SetB_24h_YPDA + salt, 1.jpg</v>
      </c>
      <c r="X71">
        <f t="shared" si="8"/>
        <v>1</v>
      </c>
    </row>
    <row r="72" spans="1:24" ht="13.9" thickBot="1">
      <c r="A72" s="5">
        <f>IF(ROW()-2&gt;SUMIFS(Overview!$K$3:$K$62,Overview!$N$3:$N$62,"OK"),"",LOOKUP(2,1/((Overview!$L$3:$L$62&lt;=ROW()-2)*(Overview!$M$3:$M$62&gt;=ROW()-2)),Overview!$R$3:$R$62))</f>
        <v>2</v>
      </c>
      <c r="B72" s="5" t="str">
        <f>IF(A72="","",LOOKUP(2,1/((Overview!$L$3:$L$62&lt;=ROW()-2)*(Overview!$M$3:$M$62&gt;=ROW()-2)),Overview!$O$3:$O$62))</f>
        <v>16.08.26_24h</v>
      </c>
      <c r="C72" s="5" t="str">
        <f>IF(A72="","",LOOKUP(2,1/((Overview!$L$3:$L$62&lt;=ROW()-2)*(Overview!$M$3:$M$62&gt;=ROW()-2)),Overview!$Y$3:$Y$62))</f>
        <v>E2_16.08.26_24h</v>
      </c>
      <c r="D72" s="45">
        <f>IF(A72="","",ROW()-2-LOOKUP(2,1/((Overview!$L$3:$L$62&lt;=ROW()-2)*(Overview!$M$3:$M$62&gt;=ROW()-2)),Overview!$L$3:$L$62)+1)</f>
        <v>22</v>
      </c>
      <c r="E72" s="31" t="str">
        <f>IF(A72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72" s="45" t="str">
        <f>IF(A72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72" s="113" t="str">
        <f>IF(A72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2" s="31" t="str">
        <f>IF(A72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72" s="31">
        <f>IF(A72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72" s="45" t="str">
        <f>IF(A72="","","image"&amp;D72&amp;LOOKUP(2,1/((Overview!$L$3:$L$62&lt;=ROW()-2)*(Overview!$M$3:$M$62&gt;=ROW()-2)),Overview!$X$3:$X$62))</f>
        <v>image22.jpg</v>
      </c>
      <c r="K72" s="113" t="str">
        <f t="shared" si="5"/>
        <v>E2_16.08.26_24h_I022</v>
      </c>
      <c r="L72" s="106" t="str">
        <f>IF(U72="","",IF(V72=1,U72,IF(X72=1,W72,LEFT(W72,LEN(W72)-LEN(LOOKUP(2,1/((Overview!$L$3:$L$62&lt;=ROW()-2)*(Overview!$M$3:$M$62&gt;=ROW()-2)),Overview!$X$3:$X$62)))&amp;IF(COUNTIF($W$3:W72,W72)=1,"","__"&amp;COUNTIF($W$3:W72,W72))&amp;LOOKUP(2,1/((Overview!$L$3:$L$62&lt;=ROW()-2)*(Overview!$M$3:$M$62&gt;=ROW()-2)),Overview!$X$3:$X$62))))</f>
        <v>16.08.26_SetB_24h_YPDA + salt, 2.jpg</v>
      </c>
      <c r="M72" s="5" t="str">
        <f>IF(A72="","",LOOKUP(2,1/((Overview!$L$3:$L$62&lt;=ROW()-2)*(Overview!$M$3:$M$62&gt;=ROW()-2)),Overview!$U$3:$U$62))</f>
        <v>Arrangement 2</v>
      </c>
      <c r="N72" s="5" t="str">
        <f>IF(A72="","",LOOKUP(2,1/((Overview!$L$3:$L$62&lt;=ROW()-2)*(Overview!$M$3:$M$62&gt;=ROW()-2)),Overview!$V$3:$V$62))</f>
        <v>annotationSet 2</v>
      </c>
      <c r="O72" s="5" t="str">
        <f>IF(A72="","",LOOKUP(2,1/((Overview!$L$3:$L$62&lt;=ROW()-2)*(Overview!$M$3:$M$62&gt;=ROW()-2)),Overview!$B$3:$B$62))</f>
        <v>16.08.26</v>
      </c>
      <c r="P72" s="14">
        <f>IF(A72="","",LOOKUP(2,1/((Overview!$L$3:$L$62&lt;=ROW()-2)*(Overview!$M$3:$M$62&gt;=ROW()-2)),Overview!$S$3:$S$62))</f>
        <v>46250</v>
      </c>
      <c r="Q72" s="5" t="str">
        <f>IF(A72="","",LOOKUP(2,1/((Overview!$L$3:$L$62&lt;=ROW()-2)*(Overview!$M$3:$M$62&gt;=ROW()-2)),Overview!$C$3:$C$62))</f>
        <v>24h</v>
      </c>
      <c r="R72" s="22" t="str">
        <f>IF(E72="","",IF(AND(I72&lt;&gt;"",LOOKUP(2,1/((Overview!$L$3:$L$62&lt;=ROW()-2)*(Overview!$M$3:$M$62&gt;=ROW()-2)),Overview!$Z$3:$Z$62)&lt;&gt;""),LEFT(E72,LEN(E72)-LEN(I72))&amp;LOOKUP(2,1/((Overview!$L$3:$L$62&lt;=ROW()-2)*(Overview!$M$3:$M$62&gt;=ROW()-2)),Overview!$Z$3:$Z$62)&amp;" "&amp;I72,E72)&amp;IF(AND(Q72="",LOOKUP(2,1/((Overview!$L$3:$L$62&lt;=ROW()-2)*(Overview!$M$3:$M$62&gt;=ROW()-2)),Overview!$W$3:$W$62)=""),"",", "&amp;IF(Q72&lt;&gt;"",Q72,"")&amp;IF(AND(Q72&lt;&gt;"",LOOKUP(2,1/((Overview!$L$3:$L$62&lt;=ROW()-2)*(Overview!$M$3:$M$62&gt;=ROW()-2)),Overview!$W$3:$W$62)&lt;&gt;"")," ","")&amp;LOOKUP(2,1/((Overview!$L$3:$L$62&lt;=ROW()-2)*(Overview!$M$3:$M$62&gt;=ROW()-2)),Overview!$W$3:$W$62)))</f>
        <v>YPDA + salt, 2, 24h</v>
      </c>
      <c r="S72" t="str">
        <f t="shared" si="6"/>
        <v>Duplicate resolved by Set</v>
      </c>
      <c r="U72" s="10" t="str">
        <f>IF(A72="","",O72&amp;IF(LOOKUP(2,1/((Overview!$L$3:$L$62&lt;=ROW()-2)*(Overview!$M$3:$M$62&gt;=ROW()-2)),Overview!$T$3:$T$62)&lt;&gt;"","_"&amp;LOOKUP(2,1/((Overview!$L$3:$L$62&lt;=ROW()-2)*(Overview!$M$3:$M$62&gt;=ROW()-2)),Overview!$T$3:$T$62),"")&amp;IF(Q72&lt;&gt;"","_"&amp;Q72,"")&amp;IF(E72&lt;&gt;"","_"&amp;E72,"")&amp;LOOKUP(2,1/((Overview!$L$3:$L$62&lt;=ROW()-2)*(Overview!$M$3:$M$62&gt;=ROW()-2)),Overview!$X$3:$X$62))</f>
        <v>16.08.26_24h_YPDA + salt, 2.jpg</v>
      </c>
      <c r="V72">
        <f t="shared" si="7"/>
        <v>2</v>
      </c>
      <c r="W72" t="str">
        <f>IF(U72="","",O72&amp;IF(LOOKUP(2,1/((Overview!$L$3:$L$62&lt;=ROW()-2)*(Overview!$M$3:$M$62&gt;=ROW()-2)),Overview!$T$3:$T$62)&lt;&gt;"","_"&amp;LOOKUP(2,1/((Overview!$L$3:$L$62&lt;=ROW()-2)*(Overview!$M$3:$M$62&gt;=ROW()-2)),Overview!$T$3:$T$62),"")&amp;"_"&amp;IF(LEFT(LOWER(TRIM(F72)),3)="set",TRIM(F72),"Set"&amp;TRIM(F72))&amp;IF(Q72&lt;&gt;"","_"&amp;Q72,"")&amp;IF(E72&lt;&gt;"","_"&amp;E72,"")&amp;LOOKUP(2,1/((Overview!$L$3:$L$62&lt;=ROW()-2)*(Overview!$M$3:$M$62&gt;=ROW()-2)),Overview!$X$3:$X$62))</f>
        <v>16.08.26_SetB_24h_YPDA + salt, 2.jpg</v>
      </c>
      <c r="X72">
        <f t="shared" si="8"/>
        <v>1</v>
      </c>
    </row>
    <row r="73" spans="1:24" ht="13.9" thickBot="1">
      <c r="A73" s="5">
        <f>IF(ROW()-2&gt;SUMIFS(Overview!$K$3:$K$62,Overview!$N$3:$N$62,"OK"),"",LOOKUP(2,1/((Overview!$L$3:$L$62&lt;=ROW()-2)*(Overview!$M$3:$M$62&gt;=ROW()-2)),Overview!$R$3:$R$62))</f>
        <v>2</v>
      </c>
      <c r="B73" s="5" t="str">
        <f>IF(A73="","",LOOKUP(2,1/((Overview!$L$3:$L$62&lt;=ROW()-2)*(Overview!$M$3:$M$62&gt;=ROW()-2)),Overview!$O$3:$O$62))</f>
        <v>16.08.26_24h</v>
      </c>
      <c r="C73" s="5" t="str">
        <f>IF(A73="","",LOOKUP(2,1/((Overview!$L$3:$L$62&lt;=ROW()-2)*(Overview!$M$3:$M$62&gt;=ROW()-2)),Overview!$Y$3:$Y$62))</f>
        <v>E2_16.08.26_24h</v>
      </c>
      <c r="D73" s="45">
        <f>IF(A73="","",ROW()-2-LOOKUP(2,1/((Overview!$L$3:$L$62&lt;=ROW()-2)*(Overview!$M$3:$M$62&gt;=ROW()-2)),Overview!$L$3:$L$62)+1)</f>
        <v>23</v>
      </c>
      <c r="E73" s="31" t="str">
        <f>IF(A73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73" s="45" t="str">
        <f>IF(A73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73" s="113" t="str">
        <f>IF(A73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3" s="31" t="str">
        <f>IF(A73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73" s="31">
        <f>IF(A73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73" s="45" t="str">
        <f>IF(A73="","","image"&amp;D73&amp;LOOKUP(2,1/((Overview!$L$3:$L$62&lt;=ROW()-2)*(Overview!$M$3:$M$62&gt;=ROW()-2)),Overview!$X$3:$X$62))</f>
        <v>image23.jpg</v>
      </c>
      <c r="K73" s="113" t="str">
        <f t="shared" si="5"/>
        <v>E2_16.08.26_24h_I023</v>
      </c>
      <c r="L73" s="106" t="str">
        <f>IF(U73="","",IF(V73=1,U73,IF(X73=1,W73,LEFT(W73,LEN(W73)-LEN(LOOKUP(2,1/((Overview!$L$3:$L$62&lt;=ROW()-2)*(Overview!$M$3:$M$62&gt;=ROW()-2)),Overview!$X$3:$X$62)))&amp;IF(COUNTIF($W$3:W73,W73)=1,"","__"&amp;COUNTIF($W$3:W73,W73))&amp;LOOKUP(2,1/((Overview!$L$3:$L$62&lt;=ROW()-2)*(Overview!$M$3:$M$62&gt;=ROW()-2)),Overview!$X$3:$X$62))))</f>
        <v>16.08.26_SetB_24h_YPDA + salt, 3.jpg</v>
      </c>
      <c r="M73" s="5" t="str">
        <f>IF(A73="","",LOOKUP(2,1/((Overview!$L$3:$L$62&lt;=ROW()-2)*(Overview!$M$3:$M$62&gt;=ROW()-2)),Overview!$U$3:$U$62))</f>
        <v>Arrangement 2</v>
      </c>
      <c r="N73" s="5" t="str">
        <f>IF(A73="","",LOOKUP(2,1/((Overview!$L$3:$L$62&lt;=ROW()-2)*(Overview!$M$3:$M$62&gt;=ROW()-2)),Overview!$V$3:$V$62))</f>
        <v>annotationSet 2</v>
      </c>
      <c r="O73" s="5" t="str">
        <f>IF(A73="","",LOOKUP(2,1/((Overview!$L$3:$L$62&lt;=ROW()-2)*(Overview!$M$3:$M$62&gt;=ROW()-2)),Overview!$B$3:$B$62))</f>
        <v>16.08.26</v>
      </c>
      <c r="P73" s="14">
        <f>IF(A73="","",LOOKUP(2,1/((Overview!$L$3:$L$62&lt;=ROW()-2)*(Overview!$M$3:$M$62&gt;=ROW()-2)),Overview!$S$3:$S$62))</f>
        <v>46250</v>
      </c>
      <c r="Q73" s="5" t="str">
        <f>IF(A73="","",LOOKUP(2,1/((Overview!$L$3:$L$62&lt;=ROW()-2)*(Overview!$M$3:$M$62&gt;=ROW()-2)),Overview!$C$3:$C$62))</f>
        <v>24h</v>
      </c>
      <c r="R73" s="22" t="str">
        <f>IF(E73="","",IF(AND(I73&lt;&gt;"",LOOKUP(2,1/((Overview!$L$3:$L$62&lt;=ROW()-2)*(Overview!$M$3:$M$62&gt;=ROW()-2)),Overview!$Z$3:$Z$62)&lt;&gt;""),LEFT(E73,LEN(E73)-LEN(I73))&amp;LOOKUP(2,1/((Overview!$L$3:$L$62&lt;=ROW()-2)*(Overview!$M$3:$M$62&gt;=ROW()-2)),Overview!$Z$3:$Z$62)&amp;" "&amp;I73,E73)&amp;IF(AND(Q73="",LOOKUP(2,1/((Overview!$L$3:$L$62&lt;=ROW()-2)*(Overview!$M$3:$M$62&gt;=ROW()-2)),Overview!$W$3:$W$62)=""),"",", "&amp;IF(Q73&lt;&gt;"",Q73,"")&amp;IF(AND(Q73&lt;&gt;"",LOOKUP(2,1/((Overview!$L$3:$L$62&lt;=ROW()-2)*(Overview!$M$3:$M$62&gt;=ROW()-2)),Overview!$W$3:$W$62)&lt;&gt;"")," ","")&amp;LOOKUP(2,1/((Overview!$L$3:$L$62&lt;=ROW()-2)*(Overview!$M$3:$M$62&gt;=ROW()-2)),Overview!$W$3:$W$62)))</f>
        <v>YPDA + salt, 3, 24h</v>
      </c>
      <c r="S73" t="str">
        <f t="shared" si="6"/>
        <v>Duplicate resolved by Set</v>
      </c>
      <c r="U73" s="10" t="str">
        <f>IF(A73="","",O73&amp;IF(LOOKUP(2,1/((Overview!$L$3:$L$62&lt;=ROW()-2)*(Overview!$M$3:$M$62&gt;=ROW()-2)),Overview!$T$3:$T$62)&lt;&gt;"","_"&amp;LOOKUP(2,1/((Overview!$L$3:$L$62&lt;=ROW()-2)*(Overview!$M$3:$M$62&gt;=ROW()-2)),Overview!$T$3:$T$62),"")&amp;IF(Q73&lt;&gt;"","_"&amp;Q73,"")&amp;IF(E73&lt;&gt;"","_"&amp;E73,"")&amp;LOOKUP(2,1/((Overview!$L$3:$L$62&lt;=ROW()-2)*(Overview!$M$3:$M$62&gt;=ROW()-2)),Overview!$X$3:$X$62))</f>
        <v>16.08.26_24h_YPDA + salt, 3.jpg</v>
      </c>
      <c r="V73">
        <f t="shared" si="7"/>
        <v>2</v>
      </c>
      <c r="W73" t="str">
        <f>IF(U73="","",O73&amp;IF(LOOKUP(2,1/((Overview!$L$3:$L$62&lt;=ROW()-2)*(Overview!$M$3:$M$62&gt;=ROW()-2)),Overview!$T$3:$T$62)&lt;&gt;"","_"&amp;LOOKUP(2,1/((Overview!$L$3:$L$62&lt;=ROW()-2)*(Overview!$M$3:$M$62&gt;=ROW()-2)),Overview!$T$3:$T$62),"")&amp;"_"&amp;IF(LEFT(LOWER(TRIM(F73)),3)="set",TRIM(F73),"Set"&amp;TRIM(F73))&amp;IF(Q73&lt;&gt;"","_"&amp;Q73,"")&amp;IF(E73&lt;&gt;"","_"&amp;E73,"")&amp;LOOKUP(2,1/((Overview!$L$3:$L$62&lt;=ROW()-2)*(Overview!$M$3:$M$62&gt;=ROW()-2)),Overview!$X$3:$X$62))</f>
        <v>16.08.26_SetB_24h_YPDA + salt, 3.jpg</v>
      </c>
      <c r="X73">
        <f t="shared" si="8"/>
        <v>1</v>
      </c>
    </row>
    <row r="74" spans="1:24" ht="13.9" thickBot="1">
      <c r="A74" s="35">
        <f>IF(ROW()-2&gt;SUMIFS(Overview!$K$3:$K$62,Overview!$N$3:$N$62,"OK"),"",LOOKUP(2,1/((Overview!$L$3:$L$62&lt;=ROW()-2)*(Overview!$M$3:$M$62&gt;=ROW()-2)),Overview!$R$3:$R$62))</f>
        <v>2</v>
      </c>
      <c r="B74" s="35" t="str">
        <f>IF(A74="","",LOOKUP(2,1/((Overview!$L$3:$L$62&lt;=ROW()-2)*(Overview!$M$3:$M$62&gt;=ROW()-2)),Overview!$O$3:$O$62))</f>
        <v>16.08.26_24h</v>
      </c>
      <c r="C74" s="35" t="str">
        <f>IF(A74="","",LOOKUP(2,1/((Overview!$L$3:$L$62&lt;=ROW()-2)*(Overview!$M$3:$M$62&gt;=ROW()-2)),Overview!$Y$3:$Y$62))</f>
        <v>E2_16.08.26_24h</v>
      </c>
      <c r="D74" s="77">
        <f>IF(A74="","",ROW()-2-LOOKUP(2,1/((Overview!$L$3:$L$62&lt;=ROW()-2)*(Overview!$M$3:$M$62&gt;=ROW()-2)),Overview!$L$3:$L$62)+1)</f>
        <v>24</v>
      </c>
      <c r="E74" s="37" t="str">
        <f>IF(A74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74" s="77" t="str">
        <f>IF(A74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74" s="115" t="str">
        <f>IF(A74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4" s="37" t="str">
        <f>IF(A74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74" s="37">
        <f>IF(A74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74" s="77" t="str">
        <f>IF(A74="","","image"&amp;D74&amp;LOOKUP(2,1/((Overview!$L$3:$L$62&lt;=ROW()-2)*(Overview!$M$3:$M$62&gt;=ROW()-2)),Overview!$X$3:$X$62))</f>
        <v>image24.jpg</v>
      </c>
      <c r="K74" s="115" t="str">
        <f t="shared" si="5"/>
        <v>E2_16.08.26_24h_I024</v>
      </c>
      <c r="L74" s="106" t="str">
        <f>IF(U74="","",IF(V74=1,U74,IF(X74=1,W74,LEFT(W74,LEN(W74)-LEN(LOOKUP(2,1/((Overview!$L$3:$L$62&lt;=ROW()-2)*(Overview!$M$3:$M$62&gt;=ROW()-2)),Overview!$X$3:$X$62)))&amp;IF(COUNTIF($W$3:W74,W74)=1,"","__"&amp;COUNTIF($W$3:W74,W74))&amp;LOOKUP(2,1/((Overview!$L$3:$L$62&lt;=ROW()-2)*(Overview!$M$3:$M$62&gt;=ROW()-2)),Overview!$X$3:$X$62))))</f>
        <v>16.08.26_SetB_24h_YPDA + salt, 4.jpg</v>
      </c>
      <c r="M74" s="35" t="str">
        <f>IF(A74="","",LOOKUP(2,1/((Overview!$L$3:$L$62&lt;=ROW()-2)*(Overview!$M$3:$M$62&gt;=ROW()-2)),Overview!$U$3:$U$62))</f>
        <v>Arrangement 2</v>
      </c>
      <c r="N74" s="35" t="str">
        <f>IF(A74="","",LOOKUP(2,1/((Overview!$L$3:$L$62&lt;=ROW()-2)*(Overview!$M$3:$M$62&gt;=ROW()-2)),Overview!$V$3:$V$62))</f>
        <v>annotationSet 2</v>
      </c>
      <c r="O74" s="35" t="str">
        <f>IF(A74="","",LOOKUP(2,1/((Overview!$L$3:$L$62&lt;=ROW()-2)*(Overview!$M$3:$M$62&gt;=ROW()-2)),Overview!$B$3:$B$62))</f>
        <v>16.08.26</v>
      </c>
      <c r="P74" s="76">
        <f>IF(A74="","",LOOKUP(2,1/((Overview!$L$3:$L$62&lt;=ROW()-2)*(Overview!$M$3:$M$62&gt;=ROW()-2)),Overview!$S$3:$S$62))</f>
        <v>46250</v>
      </c>
      <c r="Q74" s="35" t="str">
        <f>IF(A74="","",LOOKUP(2,1/((Overview!$L$3:$L$62&lt;=ROW()-2)*(Overview!$M$3:$M$62&gt;=ROW()-2)),Overview!$C$3:$C$62))</f>
        <v>24h</v>
      </c>
      <c r="R74" s="22" t="str">
        <f>IF(E74="","",IF(AND(I74&lt;&gt;"",LOOKUP(2,1/((Overview!$L$3:$L$62&lt;=ROW()-2)*(Overview!$M$3:$M$62&gt;=ROW()-2)),Overview!$Z$3:$Z$62)&lt;&gt;""),LEFT(E74,LEN(E74)-LEN(I74))&amp;LOOKUP(2,1/((Overview!$L$3:$L$62&lt;=ROW()-2)*(Overview!$M$3:$M$62&gt;=ROW()-2)),Overview!$Z$3:$Z$62)&amp;" "&amp;I74,E74)&amp;IF(AND(Q74="",LOOKUP(2,1/((Overview!$L$3:$L$62&lt;=ROW()-2)*(Overview!$M$3:$M$62&gt;=ROW()-2)),Overview!$W$3:$W$62)=""),"",", "&amp;IF(Q74&lt;&gt;"",Q74,"")&amp;IF(AND(Q74&lt;&gt;"",LOOKUP(2,1/((Overview!$L$3:$L$62&lt;=ROW()-2)*(Overview!$M$3:$M$62&gt;=ROW()-2)),Overview!$W$3:$W$62)&lt;&gt;"")," ","")&amp;LOOKUP(2,1/((Overview!$L$3:$L$62&lt;=ROW()-2)*(Overview!$M$3:$M$62&gt;=ROW()-2)),Overview!$W$3:$W$62)))</f>
        <v>YPDA + salt, 4, 24h</v>
      </c>
      <c r="S74" t="str">
        <f t="shared" si="6"/>
        <v>Duplicate resolved by Set</v>
      </c>
      <c r="U74" s="10" t="str">
        <f>IF(A74="","",O74&amp;IF(LOOKUP(2,1/((Overview!$L$3:$L$62&lt;=ROW()-2)*(Overview!$M$3:$M$62&gt;=ROW()-2)),Overview!$T$3:$T$62)&lt;&gt;"","_"&amp;LOOKUP(2,1/((Overview!$L$3:$L$62&lt;=ROW()-2)*(Overview!$M$3:$M$62&gt;=ROW()-2)),Overview!$T$3:$T$62),"")&amp;IF(Q74&lt;&gt;"","_"&amp;Q74,"")&amp;IF(E74&lt;&gt;"","_"&amp;E74,"")&amp;LOOKUP(2,1/((Overview!$L$3:$L$62&lt;=ROW()-2)*(Overview!$M$3:$M$62&gt;=ROW()-2)),Overview!$X$3:$X$62))</f>
        <v>16.08.26_24h_YPDA + salt, 4.jpg</v>
      </c>
      <c r="V74">
        <f t="shared" si="7"/>
        <v>2</v>
      </c>
      <c r="W74" t="str">
        <f>IF(U74="","",O74&amp;IF(LOOKUP(2,1/((Overview!$L$3:$L$62&lt;=ROW()-2)*(Overview!$M$3:$M$62&gt;=ROW()-2)),Overview!$T$3:$T$62)&lt;&gt;"","_"&amp;LOOKUP(2,1/((Overview!$L$3:$L$62&lt;=ROW()-2)*(Overview!$M$3:$M$62&gt;=ROW()-2)),Overview!$T$3:$T$62),"")&amp;"_"&amp;IF(LEFT(LOWER(TRIM(F74)),3)="set",TRIM(F74),"Set"&amp;TRIM(F74))&amp;IF(Q74&lt;&gt;"","_"&amp;Q74,"")&amp;IF(E74&lt;&gt;"","_"&amp;E74,"")&amp;LOOKUP(2,1/((Overview!$L$3:$L$62&lt;=ROW()-2)*(Overview!$M$3:$M$62&gt;=ROW()-2)),Overview!$X$3:$X$62))</f>
        <v>16.08.26_SetB_24h_YPDA + salt, 4.jpg</v>
      </c>
      <c r="X74">
        <f t="shared" si="8"/>
        <v>1</v>
      </c>
    </row>
    <row r="75" spans="1:24" ht="13.9" thickBot="1">
      <c r="A75" s="78">
        <f>IF(ROW()-2&gt;SUMIFS(Overview!$K$3:$K$62,Overview!$N$3:$N$62,"OK"),"",LOOKUP(2,1/((Overview!$L$3:$L$62&lt;=ROW()-2)*(Overview!$M$3:$M$62&gt;=ROW()-2)),Overview!$R$3:$R$62))</f>
        <v>2</v>
      </c>
      <c r="B75" s="78" t="str">
        <f>IF(A75="","",LOOKUP(2,1/((Overview!$L$3:$L$62&lt;=ROW()-2)*(Overview!$M$3:$M$62&gt;=ROW()-2)),Overview!$O$3:$O$62))</f>
        <v>16.08.26_24h</v>
      </c>
      <c r="C75" s="78" t="str">
        <f>IF(A75="","",LOOKUP(2,1/((Overview!$L$3:$L$62&lt;=ROW()-2)*(Overview!$M$3:$M$62&gt;=ROW()-2)),Overview!$Y$3:$Y$62))</f>
        <v>E2_16.08.26_24h</v>
      </c>
      <c r="D75" s="79">
        <f>IF(A75="","",ROW()-2-LOOKUP(2,1/((Overview!$L$3:$L$62&lt;=ROW()-2)*(Overview!$M$3:$M$62&gt;=ROW()-2)),Overview!$L$3:$L$62)+1)</f>
        <v>25</v>
      </c>
      <c r="E75" s="80" t="str">
        <f>IF(A75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sugar</v>
      </c>
      <c r="F75" s="79" t="str">
        <f>IF(A75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c</v>
      </c>
      <c r="G75" s="118" t="str">
        <f>IF(A75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75" s="80" t="str">
        <f>IF(A75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sugar</v>
      </c>
      <c r="I75" s="80" t="str">
        <f>IF(A75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75" s="79" t="str">
        <f>IF(A75="","","image"&amp;D75&amp;LOOKUP(2,1/((Overview!$L$3:$L$62&lt;=ROW()-2)*(Overview!$M$3:$M$62&gt;=ROW()-2)),Overview!$X$3:$X$62))</f>
        <v>image25.jpg</v>
      </c>
      <c r="K75" s="118" t="str">
        <f t="shared" si="5"/>
        <v>E2_16.08.26_24h_I025</v>
      </c>
      <c r="L75" s="79" t="str">
        <f>IF(U75="","",IF(V75=1,U75,IF(X75=1,W75,LEFT(W75,LEN(W75)-LEN(LOOKUP(2,1/((Overview!$L$3:$L$62&lt;=ROW()-2)*(Overview!$M$3:$M$62&gt;=ROW()-2)),Overview!$X$3:$X$62)))&amp;IF(COUNTIF($W$3:W75,W75)=1,"","__"&amp;COUNTIF($W$3:W75,W75))&amp;LOOKUP(2,1/((Overview!$L$3:$L$62&lt;=ROW()-2)*(Overview!$M$3:$M$62&gt;=ROW()-2)),Overview!$X$3:$X$62))))</f>
        <v>16.08.26_24h_sugar.jpg</v>
      </c>
      <c r="M75" s="78" t="str">
        <f>IF(A75="","",LOOKUP(2,1/((Overview!$L$3:$L$62&lt;=ROW()-2)*(Overview!$M$3:$M$62&gt;=ROW()-2)),Overview!$U$3:$U$62))</f>
        <v>Arrangement 2</v>
      </c>
      <c r="N75" s="78" t="str">
        <f>IF(A75="","",LOOKUP(2,1/((Overview!$L$3:$L$62&lt;=ROW()-2)*(Overview!$M$3:$M$62&gt;=ROW()-2)),Overview!$V$3:$V$62))</f>
        <v>annotationSet 2</v>
      </c>
      <c r="O75" s="78" t="str">
        <f>IF(A75="","",LOOKUP(2,1/((Overview!$L$3:$L$62&lt;=ROW()-2)*(Overview!$M$3:$M$62&gt;=ROW()-2)),Overview!$B$3:$B$62))</f>
        <v>16.08.26</v>
      </c>
      <c r="P75" s="81">
        <f>IF(A75="","",LOOKUP(2,1/((Overview!$L$3:$L$62&lt;=ROW()-2)*(Overview!$M$3:$M$62&gt;=ROW()-2)),Overview!$S$3:$S$62))</f>
        <v>46250</v>
      </c>
      <c r="Q75" s="78" t="str">
        <f>IF(A75="","",LOOKUP(2,1/((Overview!$L$3:$L$62&lt;=ROW()-2)*(Overview!$M$3:$M$62&gt;=ROW()-2)),Overview!$C$3:$C$62))</f>
        <v>24h</v>
      </c>
      <c r="R75" s="78" t="str">
        <f>IF(E75="","",IF(AND(I75&lt;&gt;"",LOOKUP(2,1/((Overview!$L$3:$L$62&lt;=ROW()-2)*(Overview!$M$3:$M$62&gt;=ROW()-2)),Overview!$Z$3:$Z$62)&lt;&gt;""),LEFT(E75,LEN(E75)-LEN(I75))&amp;LOOKUP(2,1/((Overview!$L$3:$L$62&lt;=ROW()-2)*(Overview!$M$3:$M$62&gt;=ROW()-2)),Overview!$Z$3:$Z$62)&amp;" "&amp;I75,E75)&amp;IF(AND(Q75="",LOOKUP(2,1/((Overview!$L$3:$L$62&lt;=ROW()-2)*(Overview!$M$3:$M$62&gt;=ROW()-2)),Overview!$W$3:$W$62)=""),"",", "&amp;IF(Q75&lt;&gt;"",Q75,"")&amp;IF(AND(Q75&lt;&gt;"",LOOKUP(2,1/((Overview!$L$3:$L$62&lt;=ROW()-2)*(Overview!$M$3:$M$62&gt;=ROW()-2)),Overview!$W$3:$W$62)&lt;&gt;"")," ","")&amp;LOOKUP(2,1/((Overview!$L$3:$L$62&lt;=ROW()-2)*(Overview!$M$3:$M$62&gt;=ROW()-2)),Overview!$W$3:$W$62)))</f>
        <v>sugar, 24h</v>
      </c>
      <c r="S75" t="str">
        <f t="shared" si="6"/>
        <v>Unique</v>
      </c>
      <c r="U75" s="10" t="str">
        <f>IF(A75="","",O75&amp;IF(LOOKUP(2,1/((Overview!$L$3:$L$62&lt;=ROW()-2)*(Overview!$M$3:$M$62&gt;=ROW()-2)),Overview!$T$3:$T$62)&lt;&gt;"","_"&amp;LOOKUP(2,1/((Overview!$L$3:$L$62&lt;=ROW()-2)*(Overview!$M$3:$M$62&gt;=ROW()-2)),Overview!$T$3:$T$62),"")&amp;IF(Q75&lt;&gt;"","_"&amp;Q75,"")&amp;IF(E75&lt;&gt;"","_"&amp;E75,"")&amp;LOOKUP(2,1/((Overview!$L$3:$L$62&lt;=ROW()-2)*(Overview!$M$3:$M$62&gt;=ROW()-2)),Overview!$X$3:$X$62))</f>
        <v>16.08.26_24h_sugar.jpg</v>
      </c>
      <c r="V75">
        <f t="shared" si="7"/>
        <v>1</v>
      </c>
      <c r="W75" t="str">
        <f>IF(U75="","",O75&amp;IF(LOOKUP(2,1/((Overview!$L$3:$L$62&lt;=ROW()-2)*(Overview!$M$3:$M$62&gt;=ROW()-2)),Overview!$T$3:$T$62)&lt;&gt;"","_"&amp;LOOKUP(2,1/((Overview!$L$3:$L$62&lt;=ROW()-2)*(Overview!$M$3:$M$62&gt;=ROW()-2)),Overview!$T$3:$T$62),"")&amp;"_"&amp;IF(LEFT(LOWER(TRIM(F75)),3)="set",TRIM(F75),"Set"&amp;TRIM(F75))&amp;IF(Q75&lt;&gt;"","_"&amp;Q75,"")&amp;IF(E75&lt;&gt;"","_"&amp;E75,"")&amp;LOOKUP(2,1/((Overview!$L$3:$L$62&lt;=ROW()-2)*(Overview!$M$3:$M$62&gt;=ROW()-2)),Overview!$X$3:$X$62))</f>
        <v>16.08.26_Setc_24h_sugar.jpg</v>
      </c>
      <c r="X75">
        <f t="shared" si="8"/>
        <v>1</v>
      </c>
    </row>
    <row r="76" spans="1:24" ht="13.9" thickBot="1">
      <c r="A76" s="22">
        <f>IF(ROW()-2&gt;SUMIFS(Overview!$K$3:$K$62,Overview!$N$3:$N$62,"OK"),"",LOOKUP(2,1/((Overview!$L$3:$L$62&lt;=ROW()-2)*(Overview!$M$3:$M$62&gt;=ROW()-2)),Overview!$R$3:$R$62))</f>
        <v>2</v>
      </c>
      <c r="B76" s="22" t="str">
        <f>IF(A76="","",LOOKUP(2,1/((Overview!$L$3:$L$62&lt;=ROW()-2)*(Overview!$M$3:$M$62&gt;=ROW()-2)),Overview!$O$3:$O$62))</f>
        <v>17.08.26_48h</v>
      </c>
      <c r="C76" s="22" t="str">
        <f>IF(A76="","",LOOKUP(2,1/((Overview!$L$3:$L$62&lt;=ROW()-2)*(Overview!$M$3:$M$62&gt;=ROW()-2)),Overview!$Y$3:$Y$62))</f>
        <v>E2_17.08.26_48h</v>
      </c>
      <c r="D76" s="40">
        <f>IF(A76="","",ROW()-2-LOOKUP(2,1/((Overview!$L$3:$L$62&lt;=ROW()-2)*(Overview!$M$3:$M$62&gt;=ROW()-2)),Overview!$L$3:$L$62)+1)</f>
        <v>1</v>
      </c>
      <c r="E76" s="26" t="str">
        <f>IF(A76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76" s="40" t="str">
        <f>IF(A76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76" s="111" t="str">
        <f>IF(A76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6" s="26" t="str">
        <f>IF(A76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76" s="26">
        <f>IF(A76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76" s="40" t="str">
        <f>IF(A76="","","image"&amp;D76&amp;LOOKUP(2,1/((Overview!$L$3:$L$62&lt;=ROW()-2)*(Overview!$M$3:$M$62&gt;=ROW()-2)),Overview!$X$3:$X$62))</f>
        <v>image1.jpg</v>
      </c>
      <c r="K76" s="111" t="str">
        <f t="shared" si="5"/>
        <v>E2_17.08.26_48h_I001</v>
      </c>
      <c r="L76" s="40" t="str">
        <f>IF(U76="","",IF(V76=1,U76,IF(X76=1,W76,LEFT(W76,LEN(W76)-LEN(LOOKUP(2,1/((Overview!$L$3:$L$62&lt;=ROW()-2)*(Overview!$M$3:$M$62&gt;=ROW()-2)),Overview!$X$3:$X$62)))&amp;IF(COUNTIF($W$3:W76,W76)=1,"","__"&amp;COUNTIF($W$3:W76,W76))&amp;LOOKUP(2,1/((Overview!$L$3:$L$62&lt;=ROW()-2)*(Overview!$M$3:$M$62&gt;=ROW()-2)),Overview!$X$3:$X$62))))</f>
        <v>17.08.26_SetA_48h_YPDA, 1.jpg</v>
      </c>
      <c r="M76" s="22" t="str">
        <f>IF(A76="","",LOOKUP(2,1/((Overview!$L$3:$L$62&lt;=ROW()-2)*(Overview!$M$3:$M$62&gt;=ROW()-2)),Overview!$U$3:$U$62))</f>
        <v>Arrangement 2</v>
      </c>
      <c r="N76" s="22" t="str">
        <f>IF(A76="","",LOOKUP(2,1/((Overview!$L$3:$L$62&lt;=ROW()-2)*(Overview!$M$3:$M$62&gt;=ROW()-2)),Overview!$V$3:$V$62))</f>
        <v>annotationSet 2</v>
      </c>
      <c r="O76" s="22" t="str">
        <f>IF(A76="","",LOOKUP(2,1/((Overview!$L$3:$L$62&lt;=ROW()-2)*(Overview!$M$3:$M$62&gt;=ROW()-2)),Overview!$B$3:$B$62))</f>
        <v>17.08.26</v>
      </c>
      <c r="P76" s="75">
        <f>IF(A76="","",LOOKUP(2,1/((Overview!$L$3:$L$62&lt;=ROW()-2)*(Overview!$M$3:$M$62&gt;=ROW()-2)),Overview!$S$3:$S$62))</f>
        <v>46251</v>
      </c>
      <c r="Q76" s="22" t="str">
        <f>IF(A76="","",LOOKUP(2,1/((Overview!$L$3:$L$62&lt;=ROW()-2)*(Overview!$M$3:$M$62&gt;=ROW()-2)),Overview!$C$3:$C$62))</f>
        <v>48h</v>
      </c>
      <c r="R76" s="22" t="str">
        <f>IF(E76="","",IF(AND(I76&lt;&gt;"",LOOKUP(2,1/((Overview!$L$3:$L$62&lt;=ROW()-2)*(Overview!$M$3:$M$62&gt;=ROW()-2)),Overview!$Z$3:$Z$62)&lt;&gt;""),LEFT(E76,LEN(E76)-LEN(I76))&amp;LOOKUP(2,1/((Overview!$L$3:$L$62&lt;=ROW()-2)*(Overview!$M$3:$M$62&gt;=ROW()-2)),Overview!$Z$3:$Z$62)&amp;" "&amp;I76,E76)&amp;IF(AND(Q76="",LOOKUP(2,1/((Overview!$L$3:$L$62&lt;=ROW()-2)*(Overview!$M$3:$M$62&gt;=ROW()-2)),Overview!$W$3:$W$62)=""),"",", "&amp;IF(Q76&lt;&gt;"",Q76,"")&amp;IF(AND(Q76&lt;&gt;"",LOOKUP(2,1/((Overview!$L$3:$L$62&lt;=ROW()-2)*(Overview!$M$3:$M$62&gt;=ROW()-2)),Overview!$W$3:$W$62)&lt;&gt;"")," ","")&amp;LOOKUP(2,1/((Overview!$L$3:$L$62&lt;=ROW()-2)*(Overview!$M$3:$M$62&gt;=ROW()-2)),Overview!$W$3:$W$62)))</f>
        <v>YPDA, 1, 48h</v>
      </c>
      <c r="S76" s="105" t="str">
        <f t="shared" si="6"/>
        <v>Duplicate resolved by Set</v>
      </c>
      <c r="U76" s="10" t="str">
        <f>IF(A76="","",O76&amp;IF(LOOKUP(2,1/((Overview!$L$3:$L$62&lt;=ROW()-2)*(Overview!$M$3:$M$62&gt;=ROW()-2)),Overview!$T$3:$T$62)&lt;&gt;"","_"&amp;LOOKUP(2,1/((Overview!$L$3:$L$62&lt;=ROW()-2)*(Overview!$M$3:$M$62&gt;=ROW()-2)),Overview!$T$3:$T$62),"")&amp;IF(Q76&lt;&gt;"","_"&amp;Q76,"")&amp;IF(E76&lt;&gt;"","_"&amp;E76,"")&amp;LOOKUP(2,1/((Overview!$L$3:$L$62&lt;=ROW()-2)*(Overview!$M$3:$M$62&gt;=ROW()-2)),Overview!$X$3:$X$62))</f>
        <v>17.08.26_48h_YPDA, 1.jpg</v>
      </c>
      <c r="V76">
        <f t="shared" si="7"/>
        <v>2</v>
      </c>
      <c r="W76" t="str">
        <f>IF(U76="","",O76&amp;IF(LOOKUP(2,1/((Overview!$L$3:$L$62&lt;=ROW()-2)*(Overview!$M$3:$M$62&gt;=ROW()-2)),Overview!$T$3:$T$62)&lt;&gt;"","_"&amp;LOOKUP(2,1/((Overview!$L$3:$L$62&lt;=ROW()-2)*(Overview!$M$3:$M$62&gt;=ROW()-2)),Overview!$T$3:$T$62),"")&amp;"_"&amp;IF(LEFT(LOWER(TRIM(F76)),3)="set",TRIM(F76),"Set"&amp;TRIM(F76))&amp;IF(Q76&lt;&gt;"","_"&amp;Q76,"")&amp;IF(E76&lt;&gt;"","_"&amp;E76,"")&amp;LOOKUP(2,1/((Overview!$L$3:$L$62&lt;=ROW()-2)*(Overview!$M$3:$M$62&gt;=ROW()-2)),Overview!$X$3:$X$62))</f>
        <v>17.08.26_SetA_48h_YPDA, 1.jpg</v>
      </c>
      <c r="X76">
        <f t="shared" si="8"/>
        <v>1</v>
      </c>
    </row>
    <row r="77" spans="1:24" ht="13.9" thickBot="1">
      <c r="A77" s="19">
        <f>IF(ROW()-2&gt;SUMIFS(Overview!$K$3:$K$62,Overview!$N$3:$N$62,"OK"),"",LOOKUP(2,1/((Overview!$L$3:$L$62&lt;=ROW()-2)*(Overview!$M$3:$M$62&gt;=ROW()-2)),Overview!$R$3:$R$62))</f>
        <v>2</v>
      </c>
      <c r="B77" s="19" t="str">
        <f>IF(A77="","",LOOKUP(2,1/((Overview!$L$3:$L$62&lt;=ROW()-2)*(Overview!$M$3:$M$62&gt;=ROW()-2)),Overview!$O$3:$O$62))</f>
        <v>17.08.26_48h</v>
      </c>
      <c r="C77" s="19" t="str">
        <f>IF(A77="","",LOOKUP(2,1/((Overview!$L$3:$L$62&lt;=ROW()-2)*(Overview!$M$3:$M$62&gt;=ROW()-2)),Overview!$Y$3:$Y$62))</f>
        <v>E2_17.08.26_48h</v>
      </c>
      <c r="D77" s="42">
        <f>IF(A77="","",ROW()-2-LOOKUP(2,1/((Overview!$L$3:$L$62&lt;=ROW()-2)*(Overview!$M$3:$M$62&gt;=ROW()-2)),Overview!$L$3:$L$62)+1)</f>
        <v>2</v>
      </c>
      <c r="E77" s="28" t="str">
        <f>IF(A77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77" s="42" t="str">
        <f>IF(A77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77" s="112" t="str">
        <f>IF(A77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7" s="28" t="str">
        <f>IF(A77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77" s="28">
        <f>IF(A77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77" s="42" t="str">
        <f>IF(A77="","","image"&amp;D77&amp;LOOKUP(2,1/((Overview!$L$3:$L$62&lt;=ROW()-2)*(Overview!$M$3:$M$62&gt;=ROW()-2)),Overview!$X$3:$X$62))</f>
        <v>image2.jpg</v>
      </c>
      <c r="K77" s="112" t="str">
        <f t="shared" si="5"/>
        <v>E2_17.08.26_48h_I002</v>
      </c>
      <c r="L77" s="40" t="str">
        <f>IF(U77="","",IF(V77=1,U77,IF(X77=1,W77,LEFT(W77,LEN(W77)-LEN(LOOKUP(2,1/((Overview!$L$3:$L$62&lt;=ROW()-2)*(Overview!$M$3:$M$62&gt;=ROW()-2)),Overview!$X$3:$X$62)))&amp;IF(COUNTIF($W$3:W77,W77)=1,"","__"&amp;COUNTIF($W$3:W77,W77))&amp;LOOKUP(2,1/((Overview!$L$3:$L$62&lt;=ROW()-2)*(Overview!$M$3:$M$62&gt;=ROW()-2)),Overview!$X$3:$X$62))))</f>
        <v>17.08.26_SetA_48h_YPDA, 2.jpg</v>
      </c>
      <c r="M77" s="19" t="str">
        <f>IF(A77="","",LOOKUP(2,1/((Overview!$L$3:$L$62&lt;=ROW()-2)*(Overview!$M$3:$M$62&gt;=ROW()-2)),Overview!$U$3:$U$62))</f>
        <v>Arrangement 2</v>
      </c>
      <c r="N77" s="19" t="str">
        <f>IF(A77="","",LOOKUP(2,1/((Overview!$L$3:$L$62&lt;=ROW()-2)*(Overview!$M$3:$M$62&gt;=ROW()-2)),Overview!$V$3:$V$62))</f>
        <v>annotationSet 2</v>
      </c>
      <c r="O77" s="19" t="str">
        <f>IF(A77="","",LOOKUP(2,1/((Overview!$L$3:$L$62&lt;=ROW()-2)*(Overview!$M$3:$M$62&gt;=ROW()-2)),Overview!$B$3:$B$62))</f>
        <v>17.08.26</v>
      </c>
      <c r="P77" s="74">
        <f>IF(A77="","",LOOKUP(2,1/((Overview!$L$3:$L$62&lt;=ROW()-2)*(Overview!$M$3:$M$62&gt;=ROW()-2)),Overview!$S$3:$S$62))</f>
        <v>46251</v>
      </c>
      <c r="Q77" s="19" t="str">
        <f>IF(A77="","",LOOKUP(2,1/((Overview!$L$3:$L$62&lt;=ROW()-2)*(Overview!$M$3:$M$62&gt;=ROW()-2)),Overview!$C$3:$C$62))</f>
        <v>48h</v>
      </c>
      <c r="R77" s="22" t="str">
        <f>IF(E77="","",IF(AND(I77&lt;&gt;"",LOOKUP(2,1/((Overview!$L$3:$L$62&lt;=ROW()-2)*(Overview!$M$3:$M$62&gt;=ROW()-2)),Overview!$Z$3:$Z$62)&lt;&gt;""),LEFT(E77,LEN(E77)-LEN(I77))&amp;LOOKUP(2,1/((Overview!$L$3:$L$62&lt;=ROW()-2)*(Overview!$M$3:$M$62&gt;=ROW()-2)),Overview!$Z$3:$Z$62)&amp;" "&amp;I77,E77)&amp;IF(AND(Q77="",LOOKUP(2,1/((Overview!$L$3:$L$62&lt;=ROW()-2)*(Overview!$M$3:$M$62&gt;=ROW()-2)),Overview!$W$3:$W$62)=""),"",", "&amp;IF(Q77&lt;&gt;"",Q77,"")&amp;IF(AND(Q77&lt;&gt;"",LOOKUP(2,1/((Overview!$L$3:$L$62&lt;=ROW()-2)*(Overview!$M$3:$M$62&gt;=ROW()-2)),Overview!$W$3:$W$62)&lt;&gt;"")," ","")&amp;LOOKUP(2,1/((Overview!$L$3:$L$62&lt;=ROW()-2)*(Overview!$M$3:$M$62&gt;=ROW()-2)),Overview!$W$3:$W$62)))</f>
        <v>YPDA, 2, 48h</v>
      </c>
      <c r="S77" t="str">
        <f t="shared" si="6"/>
        <v>Duplicate resolved by Set</v>
      </c>
      <c r="U77" s="10" t="str">
        <f>IF(A77="","",O77&amp;IF(LOOKUP(2,1/((Overview!$L$3:$L$62&lt;=ROW()-2)*(Overview!$M$3:$M$62&gt;=ROW()-2)),Overview!$T$3:$T$62)&lt;&gt;"","_"&amp;LOOKUP(2,1/((Overview!$L$3:$L$62&lt;=ROW()-2)*(Overview!$M$3:$M$62&gt;=ROW()-2)),Overview!$T$3:$T$62),"")&amp;IF(Q77&lt;&gt;"","_"&amp;Q77,"")&amp;IF(E77&lt;&gt;"","_"&amp;E77,"")&amp;LOOKUP(2,1/((Overview!$L$3:$L$62&lt;=ROW()-2)*(Overview!$M$3:$M$62&gt;=ROW()-2)),Overview!$X$3:$X$62))</f>
        <v>17.08.26_48h_YPDA, 2.jpg</v>
      </c>
      <c r="V77">
        <f t="shared" si="7"/>
        <v>2</v>
      </c>
      <c r="W77" t="str">
        <f>IF(U77="","",O77&amp;IF(LOOKUP(2,1/((Overview!$L$3:$L$62&lt;=ROW()-2)*(Overview!$M$3:$M$62&gt;=ROW()-2)),Overview!$T$3:$T$62)&lt;&gt;"","_"&amp;LOOKUP(2,1/((Overview!$L$3:$L$62&lt;=ROW()-2)*(Overview!$M$3:$M$62&gt;=ROW()-2)),Overview!$T$3:$T$62),"")&amp;"_"&amp;IF(LEFT(LOWER(TRIM(F77)),3)="set",TRIM(F77),"Set"&amp;TRIM(F77))&amp;IF(Q77&lt;&gt;"","_"&amp;Q77,"")&amp;IF(E77&lt;&gt;"","_"&amp;E77,"")&amp;LOOKUP(2,1/((Overview!$L$3:$L$62&lt;=ROW()-2)*(Overview!$M$3:$M$62&gt;=ROW()-2)),Overview!$X$3:$X$62))</f>
        <v>17.08.26_SetA_48h_YPDA, 2.jpg</v>
      </c>
      <c r="X77">
        <f t="shared" si="8"/>
        <v>1</v>
      </c>
    </row>
    <row r="78" spans="1:24" ht="13.9" thickBot="1">
      <c r="A78" s="5">
        <f>IF(ROW()-2&gt;SUMIFS(Overview!$K$3:$K$62,Overview!$N$3:$N$62,"OK"),"",LOOKUP(2,1/((Overview!$L$3:$L$62&lt;=ROW()-2)*(Overview!$M$3:$M$62&gt;=ROW()-2)),Overview!$R$3:$R$62))</f>
        <v>2</v>
      </c>
      <c r="B78" s="5" t="str">
        <f>IF(A78="","",LOOKUP(2,1/((Overview!$L$3:$L$62&lt;=ROW()-2)*(Overview!$M$3:$M$62&gt;=ROW()-2)),Overview!$O$3:$O$62))</f>
        <v>17.08.26_48h</v>
      </c>
      <c r="C78" s="5" t="str">
        <f>IF(A78="","",LOOKUP(2,1/((Overview!$L$3:$L$62&lt;=ROW()-2)*(Overview!$M$3:$M$62&gt;=ROW()-2)),Overview!$Y$3:$Y$62))</f>
        <v>E2_17.08.26_48h</v>
      </c>
      <c r="D78" s="34">
        <f>IF(A78="","",ROW()-2-LOOKUP(2,1/((Overview!$L$3:$L$62&lt;=ROW()-2)*(Overview!$M$3:$M$62&gt;=ROW()-2)),Overview!$L$3:$L$62)+1)</f>
        <v>3</v>
      </c>
      <c r="E78" s="24" t="str">
        <f>IF(A78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78" s="34" t="str">
        <f>IF(A78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78" s="113" t="str">
        <f>IF(A78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8" s="24" t="str">
        <f>IF(A78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78" s="24">
        <f>IF(A78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78" s="34" t="str">
        <f>IF(A78="","","image"&amp;D78&amp;LOOKUP(2,1/((Overview!$L$3:$L$62&lt;=ROW()-2)*(Overview!$M$3:$M$62&gt;=ROW()-2)),Overview!$X$3:$X$62))</f>
        <v>image3.jpg</v>
      </c>
      <c r="K78" s="113" t="str">
        <f t="shared" si="5"/>
        <v>E2_17.08.26_48h_I003</v>
      </c>
      <c r="L78" s="40" t="str">
        <f>IF(U78="","",IF(V78=1,U78,IF(X78=1,W78,LEFT(W78,LEN(W78)-LEN(LOOKUP(2,1/((Overview!$L$3:$L$62&lt;=ROW()-2)*(Overview!$M$3:$M$62&gt;=ROW()-2)),Overview!$X$3:$X$62)))&amp;IF(COUNTIF($W$3:W78,W78)=1,"","__"&amp;COUNTIF($W$3:W78,W78))&amp;LOOKUP(2,1/((Overview!$L$3:$L$62&lt;=ROW()-2)*(Overview!$M$3:$M$62&gt;=ROW()-2)),Overview!$X$3:$X$62))))</f>
        <v>17.08.26_SetA_48h_YPDA, 3.jpg</v>
      </c>
      <c r="M78" s="5" t="str">
        <f>IF(A78="","",LOOKUP(2,1/((Overview!$L$3:$L$62&lt;=ROW()-2)*(Overview!$M$3:$M$62&gt;=ROW()-2)),Overview!$U$3:$U$62))</f>
        <v>Arrangement 2</v>
      </c>
      <c r="N78" s="5" t="str">
        <f>IF(A78="","",LOOKUP(2,1/((Overview!$L$3:$L$62&lt;=ROW()-2)*(Overview!$M$3:$M$62&gt;=ROW()-2)),Overview!$V$3:$V$62))</f>
        <v>annotationSet 2</v>
      </c>
      <c r="O78" s="5" t="str">
        <f>IF(A78="","",LOOKUP(2,1/((Overview!$L$3:$L$62&lt;=ROW()-2)*(Overview!$M$3:$M$62&gt;=ROW()-2)),Overview!$B$3:$B$62))</f>
        <v>17.08.26</v>
      </c>
      <c r="P78" s="14">
        <f>IF(A78="","",LOOKUP(2,1/((Overview!$L$3:$L$62&lt;=ROW()-2)*(Overview!$M$3:$M$62&gt;=ROW()-2)),Overview!$S$3:$S$62))</f>
        <v>46251</v>
      </c>
      <c r="Q78" s="5" t="str">
        <f>IF(A78="","",LOOKUP(2,1/((Overview!$L$3:$L$62&lt;=ROW()-2)*(Overview!$M$3:$M$62&gt;=ROW()-2)),Overview!$C$3:$C$62))</f>
        <v>48h</v>
      </c>
      <c r="R78" s="22" t="str">
        <f>IF(E78="","",IF(AND(I78&lt;&gt;"",LOOKUP(2,1/((Overview!$L$3:$L$62&lt;=ROW()-2)*(Overview!$M$3:$M$62&gt;=ROW()-2)),Overview!$Z$3:$Z$62)&lt;&gt;""),LEFT(E78,LEN(E78)-LEN(I78))&amp;LOOKUP(2,1/((Overview!$L$3:$L$62&lt;=ROW()-2)*(Overview!$M$3:$M$62&gt;=ROW()-2)),Overview!$Z$3:$Z$62)&amp;" "&amp;I78,E78)&amp;IF(AND(Q78="",LOOKUP(2,1/((Overview!$L$3:$L$62&lt;=ROW()-2)*(Overview!$M$3:$M$62&gt;=ROW()-2)),Overview!$W$3:$W$62)=""),"",", "&amp;IF(Q78&lt;&gt;"",Q78,"")&amp;IF(AND(Q78&lt;&gt;"",LOOKUP(2,1/((Overview!$L$3:$L$62&lt;=ROW()-2)*(Overview!$M$3:$M$62&gt;=ROW()-2)),Overview!$W$3:$W$62)&lt;&gt;"")," ","")&amp;LOOKUP(2,1/((Overview!$L$3:$L$62&lt;=ROW()-2)*(Overview!$M$3:$M$62&gt;=ROW()-2)),Overview!$W$3:$W$62)))</f>
        <v>YPDA, 3, 48h</v>
      </c>
      <c r="S78" t="str">
        <f t="shared" si="6"/>
        <v>Duplicate resolved by Set</v>
      </c>
      <c r="U78" s="10" t="str">
        <f>IF(A78="","",O78&amp;IF(LOOKUP(2,1/((Overview!$L$3:$L$62&lt;=ROW()-2)*(Overview!$M$3:$M$62&gt;=ROW()-2)),Overview!$T$3:$T$62)&lt;&gt;"","_"&amp;LOOKUP(2,1/((Overview!$L$3:$L$62&lt;=ROW()-2)*(Overview!$M$3:$M$62&gt;=ROW()-2)),Overview!$T$3:$T$62),"")&amp;IF(Q78&lt;&gt;"","_"&amp;Q78,"")&amp;IF(E78&lt;&gt;"","_"&amp;E78,"")&amp;LOOKUP(2,1/((Overview!$L$3:$L$62&lt;=ROW()-2)*(Overview!$M$3:$M$62&gt;=ROW()-2)),Overview!$X$3:$X$62))</f>
        <v>17.08.26_48h_YPDA, 3.jpg</v>
      </c>
      <c r="V78">
        <f t="shared" si="7"/>
        <v>2</v>
      </c>
      <c r="W78" t="str">
        <f>IF(U78="","",O78&amp;IF(LOOKUP(2,1/((Overview!$L$3:$L$62&lt;=ROW()-2)*(Overview!$M$3:$M$62&gt;=ROW()-2)),Overview!$T$3:$T$62)&lt;&gt;"","_"&amp;LOOKUP(2,1/((Overview!$L$3:$L$62&lt;=ROW()-2)*(Overview!$M$3:$M$62&gt;=ROW()-2)),Overview!$T$3:$T$62),"")&amp;"_"&amp;IF(LEFT(LOWER(TRIM(F78)),3)="set",TRIM(F78),"Set"&amp;TRIM(F78))&amp;IF(Q78&lt;&gt;"","_"&amp;Q78,"")&amp;IF(E78&lt;&gt;"","_"&amp;E78,"")&amp;LOOKUP(2,1/((Overview!$L$3:$L$62&lt;=ROW()-2)*(Overview!$M$3:$M$62&gt;=ROW()-2)),Overview!$X$3:$X$62))</f>
        <v>17.08.26_SetA_48h_YPDA, 3.jpg</v>
      </c>
      <c r="X78">
        <f t="shared" si="8"/>
        <v>1</v>
      </c>
    </row>
    <row r="79" spans="1:24" ht="13.9" thickBot="1">
      <c r="A79" s="5">
        <f>IF(ROW()-2&gt;SUMIFS(Overview!$K$3:$K$62,Overview!$N$3:$N$62,"OK"),"",LOOKUP(2,1/((Overview!$L$3:$L$62&lt;=ROW()-2)*(Overview!$M$3:$M$62&gt;=ROW()-2)),Overview!$R$3:$R$62))</f>
        <v>2</v>
      </c>
      <c r="B79" s="5" t="str">
        <f>IF(A79="","",LOOKUP(2,1/((Overview!$L$3:$L$62&lt;=ROW()-2)*(Overview!$M$3:$M$62&gt;=ROW()-2)),Overview!$O$3:$O$62))</f>
        <v>17.08.26_48h</v>
      </c>
      <c r="C79" s="5" t="str">
        <f>IF(A79="","",LOOKUP(2,1/((Overview!$L$3:$L$62&lt;=ROW()-2)*(Overview!$M$3:$M$62&gt;=ROW()-2)),Overview!$Y$3:$Y$62))</f>
        <v>E2_17.08.26_48h</v>
      </c>
      <c r="D79" s="34">
        <f>IF(A79="","",ROW()-2-LOOKUP(2,1/((Overview!$L$3:$L$62&lt;=ROW()-2)*(Overview!$M$3:$M$62&gt;=ROW()-2)),Overview!$L$3:$L$62)+1)</f>
        <v>4</v>
      </c>
      <c r="E79" s="24" t="str">
        <f>IF(A79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79" s="34" t="str">
        <f>IF(A79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79" s="113" t="str">
        <f>IF(A79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79" s="24" t="str">
        <f>IF(A79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79" s="24">
        <f>IF(A79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79" s="34" t="str">
        <f>IF(A79="","","image"&amp;D79&amp;LOOKUP(2,1/((Overview!$L$3:$L$62&lt;=ROW()-2)*(Overview!$M$3:$M$62&gt;=ROW()-2)),Overview!$X$3:$X$62))</f>
        <v>image4.jpg</v>
      </c>
      <c r="K79" s="113" t="str">
        <f t="shared" si="5"/>
        <v>E2_17.08.26_48h_I004</v>
      </c>
      <c r="L79" s="40" t="str">
        <f>IF(U79="","",IF(V79=1,U79,IF(X79=1,W79,LEFT(W79,LEN(W79)-LEN(LOOKUP(2,1/((Overview!$L$3:$L$62&lt;=ROW()-2)*(Overview!$M$3:$M$62&gt;=ROW()-2)),Overview!$X$3:$X$62)))&amp;IF(COUNTIF($W$3:W79,W79)=1,"","__"&amp;COUNTIF($W$3:W79,W79))&amp;LOOKUP(2,1/((Overview!$L$3:$L$62&lt;=ROW()-2)*(Overview!$M$3:$M$62&gt;=ROW()-2)),Overview!$X$3:$X$62))))</f>
        <v>17.08.26_SetA_48h_YPDA, 4.jpg</v>
      </c>
      <c r="M79" s="5" t="str">
        <f>IF(A79="","",LOOKUP(2,1/((Overview!$L$3:$L$62&lt;=ROW()-2)*(Overview!$M$3:$M$62&gt;=ROW()-2)),Overview!$U$3:$U$62))</f>
        <v>Arrangement 2</v>
      </c>
      <c r="N79" s="5" t="str">
        <f>IF(A79="","",LOOKUP(2,1/((Overview!$L$3:$L$62&lt;=ROW()-2)*(Overview!$M$3:$M$62&gt;=ROW()-2)),Overview!$V$3:$V$62))</f>
        <v>annotationSet 2</v>
      </c>
      <c r="O79" s="5" t="str">
        <f>IF(A79="","",LOOKUP(2,1/((Overview!$L$3:$L$62&lt;=ROW()-2)*(Overview!$M$3:$M$62&gt;=ROW()-2)),Overview!$B$3:$B$62))</f>
        <v>17.08.26</v>
      </c>
      <c r="P79" s="14">
        <f>IF(A79="","",LOOKUP(2,1/((Overview!$L$3:$L$62&lt;=ROW()-2)*(Overview!$M$3:$M$62&gt;=ROW()-2)),Overview!$S$3:$S$62))</f>
        <v>46251</v>
      </c>
      <c r="Q79" s="5" t="str">
        <f>IF(A79="","",LOOKUP(2,1/((Overview!$L$3:$L$62&lt;=ROW()-2)*(Overview!$M$3:$M$62&gt;=ROW()-2)),Overview!$C$3:$C$62))</f>
        <v>48h</v>
      </c>
      <c r="R79" s="22" t="str">
        <f>IF(E79="","",IF(AND(I79&lt;&gt;"",LOOKUP(2,1/((Overview!$L$3:$L$62&lt;=ROW()-2)*(Overview!$M$3:$M$62&gt;=ROW()-2)),Overview!$Z$3:$Z$62)&lt;&gt;""),LEFT(E79,LEN(E79)-LEN(I79))&amp;LOOKUP(2,1/((Overview!$L$3:$L$62&lt;=ROW()-2)*(Overview!$M$3:$M$62&gt;=ROW()-2)),Overview!$Z$3:$Z$62)&amp;" "&amp;I79,E79)&amp;IF(AND(Q79="",LOOKUP(2,1/((Overview!$L$3:$L$62&lt;=ROW()-2)*(Overview!$M$3:$M$62&gt;=ROW()-2)),Overview!$W$3:$W$62)=""),"",", "&amp;IF(Q79&lt;&gt;"",Q79,"")&amp;IF(AND(Q79&lt;&gt;"",LOOKUP(2,1/((Overview!$L$3:$L$62&lt;=ROW()-2)*(Overview!$M$3:$M$62&gt;=ROW()-2)),Overview!$W$3:$W$62)&lt;&gt;"")," ","")&amp;LOOKUP(2,1/((Overview!$L$3:$L$62&lt;=ROW()-2)*(Overview!$M$3:$M$62&gt;=ROW()-2)),Overview!$W$3:$W$62)))</f>
        <v>YPDA, 4, 48h</v>
      </c>
      <c r="S79" t="str">
        <f t="shared" si="6"/>
        <v>Duplicate resolved by Set</v>
      </c>
      <c r="U79" s="10" t="str">
        <f>IF(A79="","",O79&amp;IF(LOOKUP(2,1/((Overview!$L$3:$L$62&lt;=ROW()-2)*(Overview!$M$3:$M$62&gt;=ROW()-2)),Overview!$T$3:$T$62)&lt;&gt;"","_"&amp;LOOKUP(2,1/((Overview!$L$3:$L$62&lt;=ROW()-2)*(Overview!$M$3:$M$62&gt;=ROW()-2)),Overview!$T$3:$T$62),"")&amp;IF(Q79&lt;&gt;"","_"&amp;Q79,"")&amp;IF(E79&lt;&gt;"","_"&amp;E79,"")&amp;LOOKUP(2,1/((Overview!$L$3:$L$62&lt;=ROW()-2)*(Overview!$M$3:$M$62&gt;=ROW()-2)),Overview!$X$3:$X$62))</f>
        <v>17.08.26_48h_YPDA, 4.jpg</v>
      </c>
      <c r="V79">
        <f t="shared" si="7"/>
        <v>2</v>
      </c>
      <c r="W79" t="str">
        <f>IF(U79="","",O79&amp;IF(LOOKUP(2,1/((Overview!$L$3:$L$62&lt;=ROW()-2)*(Overview!$M$3:$M$62&gt;=ROW()-2)),Overview!$T$3:$T$62)&lt;&gt;"","_"&amp;LOOKUP(2,1/((Overview!$L$3:$L$62&lt;=ROW()-2)*(Overview!$M$3:$M$62&gt;=ROW()-2)),Overview!$T$3:$T$62),"")&amp;"_"&amp;IF(LEFT(LOWER(TRIM(F79)),3)="set",TRIM(F79),"Set"&amp;TRIM(F79))&amp;IF(Q79&lt;&gt;"","_"&amp;Q79,"")&amp;IF(E79&lt;&gt;"","_"&amp;E79,"")&amp;LOOKUP(2,1/((Overview!$L$3:$L$62&lt;=ROW()-2)*(Overview!$M$3:$M$62&gt;=ROW()-2)),Overview!$X$3:$X$62))</f>
        <v>17.08.26_SetA_48h_YPDA, 4.jpg</v>
      </c>
      <c r="X79">
        <f t="shared" si="8"/>
        <v>1</v>
      </c>
    </row>
    <row r="80" spans="1:24" ht="13.9" thickBot="1">
      <c r="A80" s="5">
        <f>IF(ROW()-2&gt;SUMIFS(Overview!$K$3:$K$62,Overview!$N$3:$N$62,"OK"),"",LOOKUP(2,1/((Overview!$L$3:$L$62&lt;=ROW()-2)*(Overview!$M$3:$M$62&gt;=ROW()-2)),Overview!$R$3:$R$62))</f>
        <v>2</v>
      </c>
      <c r="B80" s="5" t="str">
        <f>IF(A80="","",LOOKUP(2,1/((Overview!$L$3:$L$62&lt;=ROW()-2)*(Overview!$M$3:$M$62&gt;=ROW()-2)),Overview!$O$3:$O$62))</f>
        <v>17.08.26_48h</v>
      </c>
      <c r="C80" s="5" t="str">
        <f>IF(A80="","",LOOKUP(2,1/((Overview!$L$3:$L$62&lt;=ROW()-2)*(Overview!$M$3:$M$62&gt;=ROW()-2)),Overview!$Y$3:$Y$62))</f>
        <v>E2_17.08.26_48h</v>
      </c>
      <c r="D80" s="34">
        <f>IF(A80="","",ROW()-2-LOOKUP(2,1/((Overview!$L$3:$L$62&lt;=ROW()-2)*(Overview!$M$3:$M$62&gt;=ROW()-2)),Overview!$L$3:$L$62)+1)</f>
        <v>5</v>
      </c>
      <c r="E80" s="30" t="str">
        <f>IF(A80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80" s="34" t="str">
        <f>IF(A80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0" s="113" t="str">
        <f>IF(A80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0" s="30" t="str">
        <f>IF(A80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80" s="30">
        <f>IF(A80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80" s="34" t="str">
        <f>IF(A80="","","image"&amp;D80&amp;LOOKUP(2,1/((Overview!$L$3:$L$62&lt;=ROW()-2)*(Overview!$M$3:$M$62&gt;=ROW()-2)),Overview!$X$3:$X$62))</f>
        <v>image5.jpg</v>
      </c>
      <c r="K80" s="113" t="str">
        <f t="shared" si="5"/>
        <v>E2_17.08.26_48h_I005</v>
      </c>
      <c r="L80" s="40" t="str">
        <f>IF(U80="","",IF(V80=1,U80,IF(X80=1,W80,LEFT(W80,LEN(W80)-LEN(LOOKUP(2,1/((Overview!$L$3:$L$62&lt;=ROW()-2)*(Overview!$M$3:$M$62&gt;=ROW()-2)),Overview!$X$3:$X$62)))&amp;IF(COUNTIF($W$3:W80,W80)=1,"","__"&amp;COUNTIF($W$3:W80,W80))&amp;LOOKUP(2,1/((Overview!$L$3:$L$62&lt;=ROW()-2)*(Overview!$M$3:$M$62&gt;=ROW()-2)),Overview!$X$3:$X$62))))</f>
        <v>17.08.26_SetA_48h_YPDA + heat, 1.jpg</v>
      </c>
      <c r="M80" s="5" t="str">
        <f>IF(A80="","",LOOKUP(2,1/((Overview!$L$3:$L$62&lt;=ROW()-2)*(Overview!$M$3:$M$62&gt;=ROW()-2)),Overview!$U$3:$U$62))</f>
        <v>Arrangement 2</v>
      </c>
      <c r="N80" s="5" t="str">
        <f>IF(A80="","",LOOKUP(2,1/((Overview!$L$3:$L$62&lt;=ROW()-2)*(Overview!$M$3:$M$62&gt;=ROW()-2)),Overview!$V$3:$V$62))</f>
        <v>annotationSet 2</v>
      </c>
      <c r="O80" s="5" t="str">
        <f>IF(A80="","",LOOKUP(2,1/((Overview!$L$3:$L$62&lt;=ROW()-2)*(Overview!$M$3:$M$62&gt;=ROW()-2)),Overview!$B$3:$B$62))</f>
        <v>17.08.26</v>
      </c>
      <c r="P80" s="14">
        <f>IF(A80="","",LOOKUP(2,1/((Overview!$L$3:$L$62&lt;=ROW()-2)*(Overview!$M$3:$M$62&gt;=ROW()-2)),Overview!$S$3:$S$62))</f>
        <v>46251</v>
      </c>
      <c r="Q80" s="5" t="str">
        <f>IF(A80="","",LOOKUP(2,1/((Overview!$L$3:$L$62&lt;=ROW()-2)*(Overview!$M$3:$M$62&gt;=ROW()-2)),Overview!$C$3:$C$62))</f>
        <v>48h</v>
      </c>
      <c r="R80" s="22" t="str">
        <f>IF(E80="","",IF(AND(I80&lt;&gt;"",LOOKUP(2,1/((Overview!$L$3:$L$62&lt;=ROW()-2)*(Overview!$M$3:$M$62&gt;=ROW()-2)),Overview!$Z$3:$Z$62)&lt;&gt;""),LEFT(E80,LEN(E80)-LEN(I80))&amp;LOOKUP(2,1/((Overview!$L$3:$L$62&lt;=ROW()-2)*(Overview!$M$3:$M$62&gt;=ROW()-2)),Overview!$Z$3:$Z$62)&amp;" "&amp;I80,E80)&amp;IF(AND(Q80="",LOOKUP(2,1/((Overview!$L$3:$L$62&lt;=ROW()-2)*(Overview!$M$3:$M$62&gt;=ROW()-2)),Overview!$W$3:$W$62)=""),"",", "&amp;IF(Q80&lt;&gt;"",Q80,"")&amp;IF(AND(Q80&lt;&gt;"",LOOKUP(2,1/((Overview!$L$3:$L$62&lt;=ROW()-2)*(Overview!$M$3:$M$62&gt;=ROW()-2)),Overview!$W$3:$W$62)&lt;&gt;"")," ","")&amp;LOOKUP(2,1/((Overview!$L$3:$L$62&lt;=ROW()-2)*(Overview!$M$3:$M$62&gt;=ROW()-2)),Overview!$W$3:$W$62)))</f>
        <v>YPDA + heat, 1, 48h</v>
      </c>
      <c r="S80" t="str">
        <f t="shared" si="6"/>
        <v>Duplicate resolved by Set</v>
      </c>
      <c r="U80" s="10" t="str">
        <f>IF(A80="","",O80&amp;IF(LOOKUP(2,1/((Overview!$L$3:$L$62&lt;=ROW()-2)*(Overview!$M$3:$M$62&gt;=ROW()-2)),Overview!$T$3:$T$62)&lt;&gt;"","_"&amp;LOOKUP(2,1/((Overview!$L$3:$L$62&lt;=ROW()-2)*(Overview!$M$3:$M$62&gt;=ROW()-2)),Overview!$T$3:$T$62),"")&amp;IF(Q80&lt;&gt;"","_"&amp;Q80,"")&amp;IF(E80&lt;&gt;"","_"&amp;E80,"")&amp;LOOKUP(2,1/((Overview!$L$3:$L$62&lt;=ROW()-2)*(Overview!$M$3:$M$62&gt;=ROW()-2)),Overview!$X$3:$X$62))</f>
        <v>17.08.26_48h_YPDA + heat, 1.jpg</v>
      </c>
      <c r="V80">
        <f t="shared" si="7"/>
        <v>2</v>
      </c>
      <c r="W80" t="str">
        <f>IF(U80="","",O80&amp;IF(LOOKUP(2,1/((Overview!$L$3:$L$62&lt;=ROW()-2)*(Overview!$M$3:$M$62&gt;=ROW()-2)),Overview!$T$3:$T$62)&lt;&gt;"","_"&amp;LOOKUP(2,1/((Overview!$L$3:$L$62&lt;=ROW()-2)*(Overview!$M$3:$M$62&gt;=ROW()-2)),Overview!$T$3:$T$62),"")&amp;"_"&amp;IF(LEFT(LOWER(TRIM(F80)),3)="set",TRIM(F80),"Set"&amp;TRIM(F80))&amp;IF(Q80&lt;&gt;"","_"&amp;Q80,"")&amp;IF(E80&lt;&gt;"","_"&amp;E80,"")&amp;LOOKUP(2,1/((Overview!$L$3:$L$62&lt;=ROW()-2)*(Overview!$M$3:$M$62&gt;=ROW()-2)),Overview!$X$3:$X$62))</f>
        <v>17.08.26_SetA_48h_YPDA + heat, 1.jpg</v>
      </c>
      <c r="X80">
        <f t="shared" si="8"/>
        <v>1</v>
      </c>
    </row>
    <row r="81" spans="1:24" ht="13.9" thickBot="1">
      <c r="A81" s="5">
        <f>IF(ROW()-2&gt;SUMIFS(Overview!$K$3:$K$62,Overview!$N$3:$N$62,"OK"),"",LOOKUP(2,1/((Overview!$L$3:$L$62&lt;=ROW()-2)*(Overview!$M$3:$M$62&gt;=ROW()-2)),Overview!$R$3:$R$62))</f>
        <v>2</v>
      </c>
      <c r="B81" s="5" t="str">
        <f>IF(A81="","",LOOKUP(2,1/((Overview!$L$3:$L$62&lt;=ROW()-2)*(Overview!$M$3:$M$62&gt;=ROW()-2)),Overview!$O$3:$O$62))</f>
        <v>17.08.26_48h</v>
      </c>
      <c r="C81" s="5" t="str">
        <f>IF(A81="","",LOOKUP(2,1/((Overview!$L$3:$L$62&lt;=ROW()-2)*(Overview!$M$3:$M$62&gt;=ROW()-2)),Overview!$Y$3:$Y$62))</f>
        <v>E2_17.08.26_48h</v>
      </c>
      <c r="D81" s="34">
        <f>IF(A81="","",ROW()-2-LOOKUP(2,1/((Overview!$L$3:$L$62&lt;=ROW()-2)*(Overview!$M$3:$M$62&gt;=ROW()-2)),Overview!$L$3:$L$62)+1)</f>
        <v>6</v>
      </c>
      <c r="E81" s="30" t="str">
        <f>IF(A81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81" s="34" t="str">
        <f>IF(A81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1" s="113" t="str">
        <f>IF(A81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1" s="30" t="str">
        <f>IF(A81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81" s="30">
        <f>IF(A81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81" s="34" t="str">
        <f>IF(A81="","","image"&amp;D81&amp;LOOKUP(2,1/((Overview!$L$3:$L$62&lt;=ROW()-2)*(Overview!$M$3:$M$62&gt;=ROW()-2)),Overview!$X$3:$X$62))</f>
        <v>image6.jpg</v>
      </c>
      <c r="K81" s="113" t="str">
        <f t="shared" si="5"/>
        <v>E2_17.08.26_48h_I006</v>
      </c>
      <c r="L81" s="40" t="str">
        <f>IF(U81="","",IF(V81=1,U81,IF(X81=1,W81,LEFT(W81,LEN(W81)-LEN(LOOKUP(2,1/((Overview!$L$3:$L$62&lt;=ROW()-2)*(Overview!$M$3:$M$62&gt;=ROW()-2)),Overview!$X$3:$X$62)))&amp;IF(COUNTIF($W$3:W81,W81)=1,"","__"&amp;COUNTIF($W$3:W81,W81))&amp;LOOKUP(2,1/((Overview!$L$3:$L$62&lt;=ROW()-2)*(Overview!$M$3:$M$62&gt;=ROW()-2)),Overview!$X$3:$X$62))))</f>
        <v>17.08.26_SetA_48h_YPDA + heat, 2.jpg</v>
      </c>
      <c r="M81" s="5" t="str">
        <f>IF(A81="","",LOOKUP(2,1/((Overview!$L$3:$L$62&lt;=ROW()-2)*(Overview!$M$3:$M$62&gt;=ROW()-2)),Overview!$U$3:$U$62))</f>
        <v>Arrangement 2</v>
      </c>
      <c r="N81" s="5" t="str">
        <f>IF(A81="","",LOOKUP(2,1/((Overview!$L$3:$L$62&lt;=ROW()-2)*(Overview!$M$3:$M$62&gt;=ROW()-2)),Overview!$V$3:$V$62))</f>
        <v>annotationSet 2</v>
      </c>
      <c r="O81" s="5" t="str">
        <f>IF(A81="","",LOOKUP(2,1/((Overview!$L$3:$L$62&lt;=ROW()-2)*(Overview!$M$3:$M$62&gt;=ROW()-2)),Overview!$B$3:$B$62))</f>
        <v>17.08.26</v>
      </c>
      <c r="P81" s="14">
        <f>IF(A81="","",LOOKUP(2,1/((Overview!$L$3:$L$62&lt;=ROW()-2)*(Overview!$M$3:$M$62&gt;=ROW()-2)),Overview!$S$3:$S$62))</f>
        <v>46251</v>
      </c>
      <c r="Q81" s="5" t="str">
        <f>IF(A81="","",LOOKUP(2,1/((Overview!$L$3:$L$62&lt;=ROW()-2)*(Overview!$M$3:$M$62&gt;=ROW()-2)),Overview!$C$3:$C$62))</f>
        <v>48h</v>
      </c>
      <c r="R81" s="22" t="str">
        <f>IF(E81="","",IF(AND(I81&lt;&gt;"",LOOKUP(2,1/((Overview!$L$3:$L$62&lt;=ROW()-2)*(Overview!$M$3:$M$62&gt;=ROW()-2)),Overview!$Z$3:$Z$62)&lt;&gt;""),LEFT(E81,LEN(E81)-LEN(I81))&amp;LOOKUP(2,1/((Overview!$L$3:$L$62&lt;=ROW()-2)*(Overview!$M$3:$M$62&gt;=ROW()-2)),Overview!$Z$3:$Z$62)&amp;" "&amp;I81,E81)&amp;IF(AND(Q81="",LOOKUP(2,1/((Overview!$L$3:$L$62&lt;=ROW()-2)*(Overview!$M$3:$M$62&gt;=ROW()-2)),Overview!$W$3:$W$62)=""),"",", "&amp;IF(Q81&lt;&gt;"",Q81,"")&amp;IF(AND(Q81&lt;&gt;"",LOOKUP(2,1/((Overview!$L$3:$L$62&lt;=ROW()-2)*(Overview!$M$3:$M$62&gt;=ROW()-2)),Overview!$W$3:$W$62)&lt;&gt;"")," ","")&amp;LOOKUP(2,1/((Overview!$L$3:$L$62&lt;=ROW()-2)*(Overview!$M$3:$M$62&gt;=ROW()-2)),Overview!$W$3:$W$62)))</f>
        <v>YPDA + heat, 2, 48h</v>
      </c>
      <c r="S81" t="str">
        <f t="shared" si="6"/>
        <v>Duplicate resolved by Set</v>
      </c>
      <c r="U81" s="10" t="str">
        <f>IF(A81="","",O81&amp;IF(LOOKUP(2,1/((Overview!$L$3:$L$62&lt;=ROW()-2)*(Overview!$M$3:$M$62&gt;=ROW()-2)),Overview!$T$3:$T$62)&lt;&gt;"","_"&amp;LOOKUP(2,1/((Overview!$L$3:$L$62&lt;=ROW()-2)*(Overview!$M$3:$M$62&gt;=ROW()-2)),Overview!$T$3:$T$62),"")&amp;IF(Q81&lt;&gt;"","_"&amp;Q81,"")&amp;IF(E81&lt;&gt;"","_"&amp;E81,"")&amp;LOOKUP(2,1/((Overview!$L$3:$L$62&lt;=ROW()-2)*(Overview!$M$3:$M$62&gt;=ROW()-2)),Overview!$X$3:$X$62))</f>
        <v>17.08.26_48h_YPDA + heat, 2.jpg</v>
      </c>
      <c r="V81">
        <f t="shared" si="7"/>
        <v>2</v>
      </c>
      <c r="W81" t="str">
        <f>IF(U81="","",O81&amp;IF(LOOKUP(2,1/((Overview!$L$3:$L$62&lt;=ROW()-2)*(Overview!$M$3:$M$62&gt;=ROW()-2)),Overview!$T$3:$T$62)&lt;&gt;"","_"&amp;LOOKUP(2,1/((Overview!$L$3:$L$62&lt;=ROW()-2)*(Overview!$M$3:$M$62&gt;=ROW()-2)),Overview!$T$3:$T$62),"")&amp;"_"&amp;IF(LEFT(LOWER(TRIM(F81)),3)="set",TRIM(F81),"Set"&amp;TRIM(F81))&amp;IF(Q81&lt;&gt;"","_"&amp;Q81,"")&amp;IF(E81&lt;&gt;"","_"&amp;E81,"")&amp;LOOKUP(2,1/((Overview!$L$3:$L$62&lt;=ROW()-2)*(Overview!$M$3:$M$62&gt;=ROW()-2)),Overview!$X$3:$X$62))</f>
        <v>17.08.26_SetA_48h_YPDA + heat, 2.jpg</v>
      </c>
      <c r="X81">
        <f t="shared" si="8"/>
        <v>1</v>
      </c>
    </row>
    <row r="82" spans="1:24" ht="13.9" thickBot="1">
      <c r="A82" s="5">
        <f>IF(ROW()-2&gt;SUMIFS(Overview!$K$3:$K$62,Overview!$N$3:$N$62,"OK"),"",LOOKUP(2,1/((Overview!$L$3:$L$62&lt;=ROW()-2)*(Overview!$M$3:$M$62&gt;=ROW()-2)),Overview!$R$3:$R$62))</f>
        <v>2</v>
      </c>
      <c r="B82" s="5" t="str">
        <f>IF(A82="","",LOOKUP(2,1/((Overview!$L$3:$L$62&lt;=ROW()-2)*(Overview!$M$3:$M$62&gt;=ROW()-2)),Overview!$O$3:$O$62))</f>
        <v>17.08.26_48h</v>
      </c>
      <c r="C82" s="5" t="str">
        <f>IF(A82="","",LOOKUP(2,1/((Overview!$L$3:$L$62&lt;=ROW()-2)*(Overview!$M$3:$M$62&gt;=ROW()-2)),Overview!$Y$3:$Y$62))</f>
        <v>E2_17.08.26_48h</v>
      </c>
      <c r="D82" s="34">
        <f>IF(A82="","",ROW()-2-LOOKUP(2,1/((Overview!$L$3:$L$62&lt;=ROW()-2)*(Overview!$M$3:$M$62&gt;=ROW()-2)),Overview!$L$3:$L$62)+1)</f>
        <v>7</v>
      </c>
      <c r="E82" s="30" t="str">
        <f>IF(A82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82" s="34" t="str">
        <f>IF(A82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2" s="113" t="str">
        <f>IF(A82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2" s="30" t="str">
        <f>IF(A82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82" s="30">
        <f>IF(A82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82" s="34" t="str">
        <f>IF(A82="","","image"&amp;D82&amp;LOOKUP(2,1/((Overview!$L$3:$L$62&lt;=ROW()-2)*(Overview!$M$3:$M$62&gt;=ROW()-2)),Overview!$X$3:$X$62))</f>
        <v>image7.jpg</v>
      </c>
      <c r="K82" s="113" t="str">
        <f t="shared" si="5"/>
        <v>E2_17.08.26_48h_I007</v>
      </c>
      <c r="L82" s="40" t="str">
        <f>IF(U82="","",IF(V82=1,U82,IF(X82=1,W82,LEFT(W82,LEN(W82)-LEN(LOOKUP(2,1/((Overview!$L$3:$L$62&lt;=ROW()-2)*(Overview!$M$3:$M$62&gt;=ROW()-2)),Overview!$X$3:$X$62)))&amp;IF(COUNTIF($W$3:W82,W82)=1,"","__"&amp;COUNTIF($W$3:W82,W82))&amp;LOOKUP(2,1/((Overview!$L$3:$L$62&lt;=ROW()-2)*(Overview!$M$3:$M$62&gt;=ROW()-2)),Overview!$X$3:$X$62))))</f>
        <v>17.08.26_SetA_48h_YPDA + heat, 3.jpg</v>
      </c>
      <c r="M82" s="5" t="str">
        <f>IF(A82="","",LOOKUP(2,1/((Overview!$L$3:$L$62&lt;=ROW()-2)*(Overview!$M$3:$M$62&gt;=ROW()-2)),Overview!$U$3:$U$62))</f>
        <v>Arrangement 2</v>
      </c>
      <c r="N82" s="5" t="str">
        <f>IF(A82="","",LOOKUP(2,1/((Overview!$L$3:$L$62&lt;=ROW()-2)*(Overview!$M$3:$M$62&gt;=ROW()-2)),Overview!$V$3:$V$62))</f>
        <v>annotationSet 2</v>
      </c>
      <c r="O82" s="5" t="str">
        <f>IF(A82="","",LOOKUP(2,1/((Overview!$L$3:$L$62&lt;=ROW()-2)*(Overview!$M$3:$M$62&gt;=ROW()-2)),Overview!$B$3:$B$62))</f>
        <v>17.08.26</v>
      </c>
      <c r="P82" s="14">
        <f>IF(A82="","",LOOKUP(2,1/((Overview!$L$3:$L$62&lt;=ROW()-2)*(Overview!$M$3:$M$62&gt;=ROW()-2)),Overview!$S$3:$S$62))</f>
        <v>46251</v>
      </c>
      <c r="Q82" s="5" t="str">
        <f>IF(A82="","",LOOKUP(2,1/((Overview!$L$3:$L$62&lt;=ROW()-2)*(Overview!$M$3:$M$62&gt;=ROW()-2)),Overview!$C$3:$C$62))</f>
        <v>48h</v>
      </c>
      <c r="R82" s="22" t="str">
        <f>IF(E82="","",IF(AND(I82&lt;&gt;"",LOOKUP(2,1/((Overview!$L$3:$L$62&lt;=ROW()-2)*(Overview!$M$3:$M$62&gt;=ROW()-2)),Overview!$Z$3:$Z$62)&lt;&gt;""),LEFT(E82,LEN(E82)-LEN(I82))&amp;LOOKUP(2,1/((Overview!$L$3:$L$62&lt;=ROW()-2)*(Overview!$M$3:$M$62&gt;=ROW()-2)),Overview!$Z$3:$Z$62)&amp;" "&amp;I82,E82)&amp;IF(AND(Q82="",LOOKUP(2,1/((Overview!$L$3:$L$62&lt;=ROW()-2)*(Overview!$M$3:$M$62&gt;=ROW()-2)),Overview!$W$3:$W$62)=""),"",", "&amp;IF(Q82&lt;&gt;"",Q82,"")&amp;IF(AND(Q82&lt;&gt;"",LOOKUP(2,1/((Overview!$L$3:$L$62&lt;=ROW()-2)*(Overview!$M$3:$M$62&gt;=ROW()-2)),Overview!$W$3:$W$62)&lt;&gt;"")," ","")&amp;LOOKUP(2,1/((Overview!$L$3:$L$62&lt;=ROW()-2)*(Overview!$M$3:$M$62&gt;=ROW()-2)),Overview!$W$3:$W$62)))</f>
        <v>YPDA + heat, 3, 48h</v>
      </c>
      <c r="S82" t="str">
        <f t="shared" si="6"/>
        <v>Duplicate resolved by Set</v>
      </c>
      <c r="U82" s="10" t="str">
        <f>IF(A82="","",O82&amp;IF(LOOKUP(2,1/((Overview!$L$3:$L$62&lt;=ROW()-2)*(Overview!$M$3:$M$62&gt;=ROW()-2)),Overview!$T$3:$T$62)&lt;&gt;"","_"&amp;LOOKUP(2,1/((Overview!$L$3:$L$62&lt;=ROW()-2)*(Overview!$M$3:$M$62&gt;=ROW()-2)),Overview!$T$3:$T$62),"")&amp;IF(Q82&lt;&gt;"","_"&amp;Q82,"")&amp;IF(E82&lt;&gt;"","_"&amp;E82,"")&amp;LOOKUP(2,1/((Overview!$L$3:$L$62&lt;=ROW()-2)*(Overview!$M$3:$M$62&gt;=ROW()-2)),Overview!$X$3:$X$62))</f>
        <v>17.08.26_48h_YPDA + heat, 3.jpg</v>
      </c>
      <c r="V82">
        <f t="shared" si="7"/>
        <v>2</v>
      </c>
      <c r="W82" t="str">
        <f>IF(U82="","",O82&amp;IF(LOOKUP(2,1/((Overview!$L$3:$L$62&lt;=ROW()-2)*(Overview!$M$3:$M$62&gt;=ROW()-2)),Overview!$T$3:$T$62)&lt;&gt;"","_"&amp;LOOKUP(2,1/((Overview!$L$3:$L$62&lt;=ROW()-2)*(Overview!$M$3:$M$62&gt;=ROW()-2)),Overview!$T$3:$T$62),"")&amp;"_"&amp;IF(LEFT(LOWER(TRIM(F82)),3)="set",TRIM(F82),"Set"&amp;TRIM(F82))&amp;IF(Q82&lt;&gt;"","_"&amp;Q82,"")&amp;IF(E82&lt;&gt;"","_"&amp;E82,"")&amp;LOOKUP(2,1/((Overview!$L$3:$L$62&lt;=ROW()-2)*(Overview!$M$3:$M$62&gt;=ROW()-2)),Overview!$X$3:$X$62))</f>
        <v>17.08.26_SetA_48h_YPDA + heat, 3.jpg</v>
      </c>
      <c r="X82">
        <f t="shared" si="8"/>
        <v>1</v>
      </c>
    </row>
    <row r="83" spans="1:24" ht="13.9" thickBot="1">
      <c r="A83" s="5">
        <f>IF(ROW()-2&gt;SUMIFS(Overview!$K$3:$K$62,Overview!$N$3:$N$62,"OK"),"",LOOKUP(2,1/((Overview!$L$3:$L$62&lt;=ROW()-2)*(Overview!$M$3:$M$62&gt;=ROW()-2)),Overview!$R$3:$R$62))</f>
        <v>2</v>
      </c>
      <c r="B83" s="5" t="str">
        <f>IF(A83="","",LOOKUP(2,1/((Overview!$L$3:$L$62&lt;=ROW()-2)*(Overview!$M$3:$M$62&gt;=ROW()-2)),Overview!$O$3:$O$62))</f>
        <v>17.08.26_48h</v>
      </c>
      <c r="C83" s="5" t="str">
        <f>IF(A83="","",LOOKUP(2,1/((Overview!$L$3:$L$62&lt;=ROW()-2)*(Overview!$M$3:$M$62&gt;=ROW()-2)),Overview!$Y$3:$Y$62))</f>
        <v>E2_17.08.26_48h</v>
      </c>
      <c r="D83" s="34">
        <f>IF(A83="","",ROW()-2-LOOKUP(2,1/((Overview!$L$3:$L$62&lt;=ROW()-2)*(Overview!$M$3:$M$62&gt;=ROW()-2)),Overview!$L$3:$L$62)+1)</f>
        <v>8</v>
      </c>
      <c r="E83" s="30" t="str">
        <f>IF(A83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83" s="34" t="str">
        <f>IF(A83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3" s="113" t="str">
        <f>IF(A83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3" s="30" t="str">
        <f>IF(A83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83" s="30">
        <f>IF(A83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83" s="34" t="str">
        <f>IF(A83="","","image"&amp;D83&amp;LOOKUP(2,1/((Overview!$L$3:$L$62&lt;=ROW()-2)*(Overview!$M$3:$M$62&gt;=ROW()-2)),Overview!$X$3:$X$62))</f>
        <v>image8.jpg</v>
      </c>
      <c r="K83" s="113" t="str">
        <f t="shared" si="5"/>
        <v>E2_17.08.26_48h_I008</v>
      </c>
      <c r="L83" s="40" t="str">
        <f>IF(U83="","",IF(V83=1,U83,IF(X83=1,W83,LEFT(W83,LEN(W83)-LEN(LOOKUP(2,1/((Overview!$L$3:$L$62&lt;=ROW()-2)*(Overview!$M$3:$M$62&gt;=ROW()-2)),Overview!$X$3:$X$62)))&amp;IF(COUNTIF($W$3:W83,W83)=1,"","__"&amp;COUNTIF($W$3:W83,W83))&amp;LOOKUP(2,1/((Overview!$L$3:$L$62&lt;=ROW()-2)*(Overview!$M$3:$M$62&gt;=ROW()-2)),Overview!$X$3:$X$62))))</f>
        <v>17.08.26_SetA_48h_YPDA + heat, 4.jpg</v>
      </c>
      <c r="M83" s="5" t="str">
        <f>IF(A83="","",LOOKUP(2,1/((Overview!$L$3:$L$62&lt;=ROW()-2)*(Overview!$M$3:$M$62&gt;=ROW()-2)),Overview!$U$3:$U$62))</f>
        <v>Arrangement 2</v>
      </c>
      <c r="N83" s="5" t="str">
        <f>IF(A83="","",LOOKUP(2,1/((Overview!$L$3:$L$62&lt;=ROW()-2)*(Overview!$M$3:$M$62&gt;=ROW()-2)),Overview!$V$3:$V$62))</f>
        <v>annotationSet 2</v>
      </c>
      <c r="O83" s="5" t="str">
        <f>IF(A83="","",LOOKUP(2,1/((Overview!$L$3:$L$62&lt;=ROW()-2)*(Overview!$M$3:$M$62&gt;=ROW()-2)),Overview!$B$3:$B$62))</f>
        <v>17.08.26</v>
      </c>
      <c r="P83" s="14">
        <f>IF(A83="","",LOOKUP(2,1/((Overview!$L$3:$L$62&lt;=ROW()-2)*(Overview!$M$3:$M$62&gt;=ROW()-2)),Overview!$S$3:$S$62))</f>
        <v>46251</v>
      </c>
      <c r="Q83" s="5" t="str">
        <f>IF(A83="","",LOOKUP(2,1/((Overview!$L$3:$L$62&lt;=ROW()-2)*(Overview!$M$3:$M$62&gt;=ROW()-2)),Overview!$C$3:$C$62))</f>
        <v>48h</v>
      </c>
      <c r="R83" s="22" t="str">
        <f>IF(E83="","",IF(AND(I83&lt;&gt;"",LOOKUP(2,1/((Overview!$L$3:$L$62&lt;=ROW()-2)*(Overview!$M$3:$M$62&gt;=ROW()-2)),Overview!$Z$3:$Z$62)&lt;&gt;""),LEFT(E83,LEN(E83)-LEN(I83))&amp;LOOKUP(2,1/((Overview!$L$3:$L$62&lt;=ROW()-2)*(Overview!$M$3:$M$62&gt;=ROW()-2)),Overview!$Z$3:$Z$62)&amp;" "&amp;I83,E83)&amp;IF(AND(Q83="",LOOKUP(2,1/((Overview!$L$3:$L$62&lt;=ROW()-2)*(Overview!$M$3:$M$62&gt;=ROW()-2)),Overview!$W$3:$W$62)=""),"",", "&amp;IF(Q83&lt;&gt;"",Q83,"")&amp;IF(AND(Q83&lt;&gt;"",LOOKUP(2,1/((Overview!$L$3:$L$62&lt;=ROW()-2)*(Overview!$M$3:$M$62&gt;=ROW()-2)),Overview!$W$3:$W$62)&lt;&gt;"")," ","")&amp;LOOKUP(2,1/((Overview!$L$3:$L$62&lt;=ROW()-2)*(Overview!$M$3:$M$62&gt;=ROW()-2)),Overview!$W$3:$W$62)))</f>
        <v>YPDA + heat, 4, 48h</v>
      </c>
      <c r="S83" t="str">
        <f t="shared" si="6"/>
        <v>Duplicate resolved by Set</v>
      </c>
      <c r="U83" s="10" t="str">
        <f>IF(A83="","",O83&amp;IF(LOOKUP(2,1/((Overview!$L$3:$L$62&lt;=ROW()-2)*(Overview!$M$3:$M$62&gt;=ROW()-2)),Overview!$T$3:$T$62)&lt;&gt;"","_"&amp;LOOKUP(2,1/((Overview!$L$3:$L$62&lt;=ROW()-2)*(Overview!$M$3:$M$62&gt;=ROW()-2)),Overview!$T$3:$T$62),"")&amp;IF(Q83&lt;&gt;"","_"&amp;Q83,"")&amp;IF(E83&lt;&gt;"","_"&amp;E83,"")&amp;LOOKUP(2,1/((Overview!$L$3:$L$62&lt;=ROW()-2)*(Overview!$M$3:$M$62&gt;=ROW()-2)),Overview!$X$3:$X$62))</f>
        <v>17.08.26_48h_YPDA + heat, 4.jpg</v>
      </c>
      <c r="V83">
        <f t="shared" si="7"/>
        <v>2</v>
      </c>
      <c r="W83" t="str">
        <f>IF(U83="","",O83&amp;IF(LOOKUP(2,1/((Overview!$L$3:$L$62&lt;=ROW()-2)*(Overview!$M$3:$M$62&gt;=ROW()-2)),Overview!$T$3:$T$62)&lt;&gt;"","_"&amp;LOOKUP(2,1/((Overview!$L$3:$L$62&lt;=ROW()-2)*(Overview!$M$3:$M$62&gt;=ROW()-2)),Overview!$T$3:$T$62),"")&amp;"_"&amp;IF(LEFT(LOWER(TRIM(F83)),3)="set",TRIM(F83),"Set"&amp;TRIM(F83))&amp;IF(Q83&lt;&gt;"","_"&amp;Q83,"")&amp;IF(E83&lt;&gt;"","_"&amp;E83,"")&amp;LOOKUP(2,1/((Overview!$L$3:$L$62&lt;=ROW()-2)*(Overview!$M$3:$M$62&gt;=ROW()-2)),Overview!$X$3:$X$62))</f>
        <v>17.08.26_SetA_48h_YPDA + heat, 4.jpg</v>
      </c>
      <c r="X83">
        <f t="shared" si="8"/>
        <v>1</v>
      </c>
    </row>
    <row r="84" spans="1:24" ht="13.9" thickBot="1">
      <c r="A84" s="5">
        <f>IF(ROW()-2&gt;SUMIFS(Overview!$K$3:$K$62,Overview!$N$3:$N$62,"OK"),"",LOOKUP(2,1/((Overview!$L$3:$L$62&lt;=ROW()-2)*(Overview!$M$3:$M$62&gt;=ROW()-2)),Overview!$R$3:$R$62))</f>
        <v>2</v>
      </c>
      <c r="B84" s="5" t="str">
        <f>IF(A84="","",LOOKUP(2,1/((Overview!$L$3:$L$62&lt;=ROW()-2)*(Overview!$M$3:$M$62&gt;=ROW()-2)),Overview!$O$3:$O$62))</f>
        <v>17.08.26_48h</v>
      </c>
      <c r="C84" s="5" t="str">
        <f>IF(A84="","",LOOKUP(2,1/((Overview!$L$3:$L$62&lt;=ROW()-2)*(Overview!$M$3:$M$62&gt;=ROW()-2)),Overview!$Y$3:$Y$62))</f>
        <v>E2_17.08.26_48h</v>
      </c>
      <c r="D84" s="34">
        <f>IF(A84="","",ROW()-2-LOOKUP(2,1/((Overview!$L$3:$L$62&lt;=ROW()-2)*(Overview!$M$3:$M$62&gt;=ROW()-2)),Overview!$L$3:$L$62)+1)</f>
        <v>9</v>
      </c>
      <c r="E84" s="31" t="str">
        <f>IF(A84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84" s="34" t="str">
        <f>IF(A84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4" s="113" t="str">
        <f>IF(A84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4" s="31" t="str">
        <f>IF(A84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84" s="31">
        <f>IF(A84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84" s="34" t="str">
        <f>IF(A84="","","image"&amp;D84&amp;LOOKUP(2,1/((Overview!$L$3:$L$62&lt;=ROW()-2)*(Overview!$M$3:$M$62&gt;=ROW()-2)),Overview!$X$3:$X$62))</f>
        <v>image9.jpg</v>
      </c>
      <c r="K84" s="113" t="str">
        <f t="shared" si="5"/>
        <v>E2_17.08.26_48h_I009</v>
      </c>
      <c r="L84" s="40" t="str">
        <f>IF(U84="","",IF(V84=1,U84,IF(X84=1,W84,LEFT(W84,LEN(W84)-LEN(LOOKUP(2,1/((Overview!$L$3:$L$62&lt;=ROW()-2)*(Overview!$M$3:$M$62&gt;=ROW()-2)),Overview!$X$3:$X$62)))&amp;IF(COUNTIF($W$3:W84,W84)=1,"","__"&amp;COUNTIF($W$3:W84,W84))&amp;LOOKUP(2,1/((Overview!$L$3:$L$62&lt;=ROW()-2)*(Overview!$M$3:$M$62&gt;=ROW()-2)),Overview!$X$3:$X$62))))</f>
        <v>17.08.26_SetA_48h_YPDA + salt, 1.jpg</v>
      </c>
      <c r="M84" s="5" t="str">
        <f>IF(A84="","",LOOKUP(2,1/((Overview!$L$3:$L$62&lt;=ROW()-2)*(Overview!$M$3:$M$62&gt;=ROW()-2)),Overview!$U$3:$U$62))</f>
        <v>Arrangement 2</v>
      </c>
      <c r="N84" s="5" t="str">
        <f>IF(A84="","",LOOKUP(2,1/((Overview!$L$3:$L$62&lt;=ROW()-2)*(Overview!$M$3:$M$62&gt;=ROW()-2)),Overview!$V$3:$V$62))</f>
        <v>annotationSet 2</v>
      </c>
      <c r="O84" s="5" t="str">
        <f>IF(A84="","",LOOKUP(2,1/((Overview!$L$3:$L$62&lt;=ROW()-2)*(Overview!$M$3:$M$62&gt;=ROW()-2)),Overview!$B$3:$B$62))</f>
        <v>17.08.26</v>
      </c>
      <c r="P84" s="14">
        <f>IF(A84="","",LOOKUP(2,1/((Overview!$L$3:$L$62&lt;=ROW()-2)*(Overview!$M$3:$M$62&gt;=ROW()-2)),Overview!$S$3:$S$62))</f>
        <v>46251</v>
      </c>
      <c r="Q84" s="5" t="str">
        <f>IF(A84="","",LOOKUP(2,1/((Overview!$L$3:$L$62&lt;=ROW()-2)*(Overview!$M$3:$M$62&gt;=ROW()-2)),Overview!$C$3:$C$62))</f>
        <v>48h</v>
      </c>
      <c r="R84" s="22" t="str">
        <f>IF(E84="","",IF(AND(I84&lt;&gt;"",LOOKUP(2,1/((Overview!$L$3:$L$62&lt;=ROW()-2)*(Overview!$M$3:$M$62&gt;=ROW()-2)),Overview!$Z$3:$Z$62)&lt;&gt;""),LEFT(E84,LEN(E84)-LEN(I84))&amp;LOOKUP(2,1/((Overview!$L$3:$L$62&lt;=ROW()-2)*(Overview!$M$3:$M$62&gt;=ROW()-2)),Overview!$Z$3:$Z$62)&amp;" "&amp;I84,E84)&amp;IF(AND(Q84="",LOOKUP(2,1/((Overview!$L$3:$L$62&lt;=ROW()-2)*(Overview!$M$3:$M$62&gt;=ROW()-2)),Overview!$W$3:$W$62)=""),"",", "&amp;IF(Q84&lt;&gt;"",Q84,"")&amp;IF(AND(Q84&lt;&gt;"",LOOKUP(2,1/((Overview!$L$3:$L$62&lt;=ROW()-2)*(Overview!$M$3:$M$62&gt;=ROW()-2)),Overview!$W$3:$W$62)&lt;&gt;"")," ","")&amp;LOOKUP(2,1/((Overview!$L$3:$L$62&lt;=ROW()-2)*(Overview!$M$3:$M$62&gt;=ROW()-2)),Overview!$W$3:$W$62)))</f>
        <v>YPDA + salt, 1, 48h</v>
      </c>
      <c r="S84" t="str">
        <f t="shared" si="6"/>
        <v>Duplicate resolved by Set</v>
      </c>
      <c r="U84" s="10" t="str">
        <f>IF(A84="","",O84&amp;IF(LOOKUP(2,1/((Overview!$L$3:$L$62&lt;=ROW()-2)*(Overview!$M$3:$M$62&gt;=ROW()-2)),Overview!$T$3:$T$62)&lt;&gt;"","_"&amp;LOOKUP(2,1/((Overview!$L$3:$L$62&lt;=ROW()-2)*(Overview!$M$3:$M$62&gt;=ROW()-2)),Overview!$T$3:$T$62),"")&amp;IF(Q84&lt;&gt;"","_"&amp;Q84,"")&amp;IF(E84&lt;&gt;"","_"&amp;E84,"")&amp;LOOKUP(2,1/((Overview!$L$3:$L$62&lt;=ROW()-2)*(Overview!$M$3:$M$62&gt;=ROW()-2)),Overview!$X$3:$X$62))</f>
        <v>17.08.26_48h_YPDA + salt, 1.jpg</v>
      </c>
      <c r="V84">
        <f t="shared" si="7"/>
        <v>2</v>
      </c>
      <c r="W84" t="str">
        <f>IF(U84="","",O84&amp;IF(LOOKUP(2,1/((Overview!$L$3:$L$62&lt;=ROW()-2)*(Overview!$M$3:$M$62&gt;=ROW()-2)),Overview!$T$3:$T$62)&lt;&gt;"","_"&amp;LOOKUP(2,1/((Overview!$L$3:$L$62&lt;=ROW()-2)*(Overview!$M$3:$M$62&gt;=ROW()-2)),Overview!$T$3:$T$62),"")&amp;"_"&amp;IF(LEFT(LOWER(TRIM(F84)),3)="set",TRIM(F84),"Set"&amp;TRIM(F84))&amp;IF(Q84&lt;&gt;"","_"&amp;Q84,"")&amp;IF(E84&lt;&gt;"","_"&amp;E84,"")&amp;LOOKUP(2,1/((Overview!$L$3:$L$62&lt;=ROW()-2)*(Overview!$M$3:$M$62&gt;=ROW()-2)),Overview!$X$3:$X$62))</f>
        <v>17.08.26_SetA_48h_YPDA + salt, 1.jpg</v>
      </c>
      <c r="X84">
        <f t="shared" si="8"/>
        <v>1</v>
      </c>
    </row>
    <row r="85" spans="1:24" ht="13.9" thickBot="1">
      <c r="A85" s="5">
        <f>IF(ROW()-2&gt;SUMIFS(Overview!$K$3:$K$62,Overview!$N$3:$N$62,"OK"),"",LOOKUP(2,1/((Overview!$L$3:$L$62&lt;=ROW()-2)*(Overview!$M$3:$M$62&gt;=ROW()-2)),Overview!$R$3:$R$62))</f>
        <v>2</v>
      </c>
      <c r="B85" s="5" t="str">
        <f>IF(A85="","",LOOKUP(2,1/((Overview!$L$3:$L$62&lt;=ROW()-2)*(Overview!$M$3:$M$62&gt;=ROW()-2)),Overview!$O$3:$O$62))</f>
        <v>17.08.26_48h</v>
      </c>
      <c r="C85" s="5" t="str">
        <f>IF(A85="","",LOOKUP(2,1/((Overview!$L$3:$L$62&lt;=ROW()-2)*(Overview!$M$3:$M$62&gt;=ROW()-2)),Overview!$Y$3:$Y$62))</f>
        <v>E2_17.08.26_48h</v>
      </c>
      <c r="D85" s="34">
        <f>IF(A85="","",ROW()-2-LOOKUP(2,1/((Overview!$L$3:$L$62&lt;=ROW()-2)*(Overview!$M$3:$M$62&gt;=ROW()-2)),Overview!$L$3:$L$62)+1)</f>
        <v>10</v>
      </c>
      <c r="E85" s="31" t="str">
        <f>IF(A85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85" s="34" t="str">
        <f>IF(A85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5" s="113" t="str">
        <f>IF(A85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5" s="31" t="str">
        <f>IF(A85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85" s="31">
        <f>IF(A85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85" s="34" t="str">
        <f>IF(A85="","","image"&amp;D85&amp;LOOKUP(2,1/((Overview!$L$3:$L$62&lt;=ROW()-2)*(Overview!$M$3:$M$62&gt;=ROW()-2)),Overview!$X$3:$X$62))</f>
        <v>image10.jpg</v>
      </c>
      <c r="K85" s="113" t="str">
        <f t="shared" si="5"/>
        <v>E2_17.08.26_48h_I010</v>
      </c>
      <c r="L85" s="40" t="str">
        <f>IF(U85="","",IF(V85=1,U85,IF(X85=1,W85,LEFT(W85,LEN(W85)-LEN(LOOKUP(2,1/((Overview!$L$3:$L$62&lt;=ROW()-2)*(Overview!$M$3:$M$62&gt;=ROW()-2)),Overview!$X$3:$X$62)))&amp;IF(COUNTIF($W$3:W85,W85)=1,"","__"&amp;COUNTIF($W$3:W85,W85))&amp;LOOKUP(2,1/((Overview!$L$3:$L$62&lt;=ROW()-2)*(Overview!$M$3:$M$62&gt;=ROW()-2)),Overview!$X$3:$X$62))))</f>
        <v>17.08.26_SetA_48h_YPDA + salt, 2.jpg</v>
      </c>
      <c r="M85" s="5" t="str">
        <f>IF(A85="","",LOOKUP(2,1/((Overview!$L$3:$L$62&lt;=ROW()-2)*(Overview!$M$3:$M$62&gt;=ROW()-2)),Overview!$U$3:$U$62))</f>
        <v>Arrangement 2</v>
      </c>
      <c r="N85" s="5" t="str">
        <f>IF(A85="","",LOOKUP(2,1/((Overview!$L$3:$L$62&lt;=ROW()-2)*(Overview!$M$3:$M$62&gt;=ROW()-2)),Overview!$V$3:$V$62))</f>
        <v>annotationSet 2</v>
      </c>
      <c r="O85" s="5" t="str">
        <f>IF(A85="","",LOOKUP(2,1/((Overview!$L$3:$L$62&lt;=ROW()-2)*(Overview!$M$3:$M$62&gt;=ROW()-2)),Overview!$B$3:$B$62))</f>
        <v>17.08.26</v>
      </c>
      <c r="P85" s="14">
        <f>IF(A85="","",LOOKUP(2,1/((Overview!$L$3:$L$62&lt;=ROW()-2)*(Overview!$M$3:$M$62&gt;=ROW()-2)),Overview!$S$3:$S$62))</f>
        <v>46251</v>
      </c>
      <c r="Q85" s="5" t="str">
        <f>IF(A85="","",LOOKUP(2,1/((Overview!$L$3:$L$62&lt;=ROW()-2)*(Overview!$M$3:$M$62&gt;=ROW()-2)),Overview!$C$3:$C$62))</f>
        <v>48h</v>
      </c>
      <c r="R85" s="22" t="str">
        <f>IF(E85="","",IF(AND(I85&lt;&gt;"",LOOKUP(2,1/((Overview!$L$3:$L$62&lt;=ROW()-2)*(Overview!$M$3:$M$62&gt;=ROW()-2)),Overview!$Z$3:$Z$62)&lt;&gt;""),LEFT(E85,LEN(E85)-LEN(I85))&amp;LOOKUP(2,1/((Overview!$L$3:$L$62&lt;=ROW()-2)*(Overview!$M$3:$M$62&gt;=ROW()-2)),Overview!$Z$3:$Z$62)&amp;" "&amp;I85,E85)&amp;IF(AND(Q85="",LOOKUP(2,1/((Overview!$L$3:$L$62&lt;=ROW()-2)*(Overview!$M$3:$M$62&gt;=ROW()-2)),Overview!$W$3:$W$62)=""),"",", "&amp;IF(Q85&lt;&gt;"",Q85,"")&amp;IF(AND(Q85&lt;&gt;"",LOOKUP(2,1/((Overview!$L$3:$L$62&lt;=ROW()-2)*(Overview!$M$3:$M$62&gt;=ROW()-2)),Overview!$W$3:$W$62)&lt;&gt;"")," ","")&amp;LOOKUP(2,1/((Overview!$L$3:$L$62&lt;=ROW()-2)*(Overview!$M$3:$M$62&gt;=ROW()-2)),Overview!$W$3:$W$62)))</f>
        <v>YPDA + salt, 2, 48h</v>
      </c>
      <c r="S85" t="str">
        <f t="shared" si="6"/>
        <v>Duplicate resolved by Set</v>
      </c>
      <c r="U85" s="10" t="str">
        <f>IF(A85="","",O85&amp;IF(LOOKUP(2,1/((Overview!$L$3:$L$62&lt;=ROW()-2)*(Overview!$M$3:$M$62&gt;=ROW()-2)),Overview!$T$3:$T$62)&lt;&gt;"","_"&amp;LOOKUP(2,1/((Overview!$L$3:$L$62&lt;=ROW()-2)*(Overview!$M$3:$M$62&gt;=ROW()-2)),Overview!$T$3:$T$62),"")&amp;IF(Q85&lt;&gt;"","_"&amp;Q85,"")&amp;IF(E85&lt;&gt;"","_"&amp;E85,"")&amp;LOOKUP(2,1/((Overview!$L$3:$L$62&lt;=ROW()-2)*(Overview!$M$3:$M$62&gt;=ROW()-2)),Overview!$X$3:$X$62))</f>
        <v>17.08.26_48h_YPDA + salt, 2.jpg</v>
      </c>
      <c r="V85">
        <f t="shared" si="7"/>
        <v>2</v>
      </c>
      <c r="W85" t="str">
        <f>IF(U85="","",O85&amp;IF(LOOKUP(2,1/((Overview!$L$3:$L$62&lt;=ROW()-2)*(Overview!$M$3:$M$62&gt;=ROW()-2)),Overview!$T$3:$T$62)&lt;&gt;"","_"&amp;LOOKUP(2,1/((Overview!$L$3:$L$62&lt;=ROW()-2)*(Overview!$M$3:$M$62&gt;=ROW()-2)),Overview!$T$3:$T$62),"")&amp;"_"&amp;IF(LEFT(LOWER(TRIM(F85)),3)="set",TRIM(F85),"Set"&amp;TRIM(F85))&amp;IF(Q85&lt;&gt;"","_"&amp;Q85,"")&amp;IF(E85&lt;&gt;"","_"&amp;E85,"")&amp;LOOKUP(2,1/((Overview!$L$3:$L$62&lt;=ROW()-2)*(Overview!$M$3:$M$62&gt;=ROW()-2)),Overview!$X$3:$X$62))</f>
        <v>17.08.26_SetA_48h_YPDA + salt, 2.jpg</v>
      </c>
      <c r="X85">
        <f t="shared" si="8"/>
        <v>1</v>
      </c>
    </row>
    <row r="86" spans="1:24" ht="13.9" thickBot="1">
      <c r="A86" s="5">
        <f>IF(ROW()-2&gt;SUMIFS(Overview!$K$3:$K$62,Overview!$N$3:$N$62,"OK"),"",LOOKUP(2,1/((Overview!$L$3:$L$62&lt;=ROW()-2)*(Overview!$M$3:$M$62&gt;=ROW()-2)),Overview!$R$3:$R$62))</f>
        <v>2</v>
      </c>
      <c r="B86" s="5" t="str">
        <f>IF(A86="","",LOOKUP(2,1/((Overview!$L$3:$L$62&lt;=ROW()-2)*(Overview!$M$3:$M$62&gt;=ROW()-2)),Overview!$O$3:$O$62))</f>
        <v>17.08.26_48h</v>
      </c>
      <c r="C86" s="5" t="str">
        <f>IF(A86="","",LOOKUP(2,1/((Overview!$L$3:$L$62&lt;=ROW()-2)*(Overview!$M$3:$M$62&gt;=ROW()-2)),Overview!$Y$3:$Y$62))</f>
        <v>E2_17.08.26_48h</v>
      </c>
      <c r="D86" s="34">
        <f>IF(A86="","",ROW()-2-LOOKUP(2,1/((Overview!$L$3:$L$62&lt;=ROW()-2)*(Overview!$M$3:$M$62&gt;=ROW()-2)),Overview!$L$3:$L$62)+1)</f>
        <v>11</v>
      </c>
      <c r="E86" s="31" t="str">
        <f>IF(A86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86" s="34" t="str">
        <f>IF(A86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6" s="113" t="str">
        <f>IF(A86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6" s="31" t="str">
        <f>IF(A86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86" s="31">
        <f>IF(A86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86" s="34" t="str">
        <f>IF(A86="","","image"&amp;D86&amp;LOOKUP(2,1/((Overview!$L$3:$L$62&lt;=ROW()-2)*(Overview!$M$3:$M$62&gt;=ROW()-2)),Overview!$X$3:$X$62))</f>
        <v>image11.jpg</v>
      </c>
      <c r="K86" s="113" t="str">
        <f t="shared" si="5"/>
        <v>E2_17.08.26_48h_I011</v>
      </c>
      <c r="L86" s="40" t="str">
        <f>IF(U86="","",IF(V86=1,U86,IF(X86=1,W86,LEFT(W86,LEN(W86)-LEN(LOOKUP(2,1/((Overview!$L$3:$L$62&lt;=ROW()-2)*(Overview!$M$3:$M$62&gt;=ROW()-2)),Overview!$X$3:$X$62)))&amp;IF(COUNTIF($W$3:W86,W86)=1,"","__"&amp;COUNTIF($W$3:W86,W86))&amp;LOOKUP(2,1/((Overview!$L$3:$L$62&lt;=ROW()-2)*(Overview!$M$3:$M$62&gt;=ROW()-2)),Overview!$X$3:$X$62))))</f>
        <v>17.08.26_SetA_48h_YPDA + salt, 3.jpg</v>
      </c>
      <c r="M86" s="5" t="str">
        <f>IF(A86="","",LOOKUP(2,1/((Overview!$L$3:$L$62&lt;=ROW()-2)*(Overview!$M$3:$M$62&gt;=ROW()-2)),Overview!$U$3:$U$62))</f>
        <v>Arrangement 2</v>
      </c>
      <c r="N86" s="5" t="str">
        <f>IF(A86="","",LOOKUP(2,1/((Overview!$L$3:$L$62&lt;=ROW()-2)*(Overview!$M$3:$M$62&gt;=ROW()-2)),Overview!$V$3:$V$62))</f>
        <v>annotationSet 2</v>
      </c>
      <c r="O86" s="5" t="str">
        <f>IF(A86="","",LOOKUP(2,1/((Overview!$L$3:$L$62&lt;=ROW()-2)*(Overview!$M$3:$M$62&gt;=ROW()-2)),Overview!$B$3:$B$62))</f>
        <v>17.08.26</v>
      </c>
      <c r="P86" s="14">
        <f>IF(A86="","",LOOKUP(2,1/((Overview!$L$3:$L$62&lt;=ROW()-2)*(Overview!$M$3:$M$62&gt;=ROW()-2)),Overview!$S$3:$S$62))</f>
        <v>46251</v>
      </c>
      <c r="Q86" s="5" t="str">
        <f>IF(A86="","",LOOKUP(2,1/((Overview!$L$3:$L$62&lt;=ROW()-2)*(Overview!$M$3:$M$62&gt;=ROW()-2)),Overview!$C$3:$C$62))</f>
        <v>48h</v>
      </c>
      <c r="R86" s="22" t="str">
        <f>IF(E86="","",IF(AND(I86&lt;&gt;"",LOOKUP(2,1/((Overview!$L$3:$L$62&lt;=ROW()-2)*(Overview!$M$3:$M$62&gt;=ROW()-2)),Overview!$Z$3:$Z$62)&lt;&gt;""),LEFT(E86,LEN(E86)-LEN(I86))&amp;LOOKUP(2,1/((Overview!$L$3:$L$62&lt;=ROW()-2)*(Overview!$M$3:$M$62&gt;=ROW()-2)),Overview!$Z$3:$Z$62)&amp;" "&amp;I86,E86)&amp;IF(AND(Q86="",LOOKUP(2,1/((Overview!$L$3:$L$62&lt;=ROW()-2)*(Overview!$M$3:$M$62&gt;=ROW()-2)),Overview!$W$3:$W$62)=""),"",", "&amp;IF(Q86&lt;&gt;"",Q86,"")&amp;IF(AND(Q86&lt;&gt;"",LOOKUP(2,1/((Overview!$L$3:$L$62&lt;=ROW()-2)*(Overview!$M$3:$M$62&gt;=ROW()-2)),Overview!$W$3:$W$62)&lt;&gt;"")," ","")&amp;LOOKUP(2,1/((Overview!$L$3:$L$62&lt;=ROW()-2)*(Overview!$M$3:$M$62&gt;=ROW()-2)),Overview!$W$3:$W$62)))</f>
        <v>YPDA + salt, 3, 48h</v>
      </c>
      <c r="S86" t="str">
        <f t="shared" si="6"/>
        <v>Duplicate resolved by Set</v>
      </c>
      <c r="U86" s="10" t="str">
        <f>IF(A86="","",O86&amp;IF(LOOKUP(2,1/((Overview!$L$3:$L$62&lt;=ROW()-2)*(Overview!$M$3:$M$62&gt;=ROW()-2)),Overview!$T$3:$T$62)&lt;&gt;"","_"&amp;LOOKUP(2,1/((Overview!$L$3:$L$62&lt;=ROW()-2)*(Overview!$M$3:$M$62&gt;=ROW()-2)),Overview!$T$3:$T$62),"")&amp;IF(Q86&lt;&gt;"","_"&amp;Q86,"")&amp;IF(E86&lt;&gt;"","_"&amp;E86,"")&amp;LOOKUP(2,1/((Overview!$L$3:$L$62&lt;=ROW()-2)*(Overview!$M$3:$M$62&gt;=ROW()-2)),Overview!$X$3:$X$62))</f>
        <v>17.08.26_48h_YPDA + salt, 3.jpg</v>
      </c>
      <c r="V86">
        <f t="shared" si="7"/>
        <v>2</v>
      </c>
      <c r="W86" t="str">
        <f>IF(U86="","",O86&amp;IF(LOOKUP(2,1/((Overview!$L$3:$L$62&lt;=ROW()-2)*(Overview!$M$3:$M$62&gt;=ROW()-2)),Overview!$T$3:$T$62)&lt;&gt;"","_"&amp;LOOKUP(2,1/((Overview!$L$3:$L$62&lt;=ROW()-2)*(Overview!$M$3:$M$62&gt;=ROW()-2)),Overview!$T$3:$T$62),"")&amp;"_"&amp;IF(LEFT(LOWER(TRIM(F86)),3)="set",TRIM(F86),"Set"&amp;TRIM(F86))&amp;IF(Q86&lt;&gt;"","_"&amp;Q86,"")&amp;IF(E86&lt;&gt;"","_"&amp;E86,"")&amp;LOOKUP(2,1/((Overview!$L$3:$L$62&lt;=ROW()-2)*(Overview!$M$3:$M$62&gt;=ROW()-2)),Overview!$X$3:$X$62))</f>
        <v>17.08.26_SetA_48h_YPDA + salt, 3.jpg</v>
      </c>
      <c r="X86">
        <f t="shared" si="8"/>
        <v>1</v>
      </c>
    </row>
    <row r="87" spans="1:24" ht="13.9" thickBot="1">
      <c r="A87" s="5">
        <f>IF(ROW()-2&gt;SUMIFS(Overview!$K$3:$K$62,Overview!$N$3:$N$62,"OK"),"",LOOKUP(2,1/((Overview!$L$3:$L$62&lt;=ROW()-2)*(Overview!$M$3:$M$62&gt;=ROW()-2)),Overview!$R$3:$R$62))</f>
        <v>2</v>
      </c>
      <c r="B87" s="5" t="str">
        <f>IF(A87="","",LOOKUP(2,1/((Overview!$L$3:$L$62&lt;=ROW()-2)*(Overview!$M$3:$M$62&gt;=ROW()-2)),Overview!$O$3:$O$62))</f>
        <v>17.08.26_48h</v>
      </c>
      <c r="C87" s="5" t="str">
        <f>IF(A87="","",LOOKUP(2,1/((Overview!$L$3:$L$62&lt;=ROW()-2)*(Overview!$M$3:$M$62&gt;=ROW()-2)),Overview!$Y$3:$Y$62))</f>
        <v>E2_17.08.26_48h</v>
      </c>
      <c r="D87" s="34">
        <f>IF(A87="","",ROW()-2-LOOKUP(2,1/((Overview!$L$3:$L$62&lt;=ROW()-2)*(Overview!$M$3:$M$62&gt;=ROW()-2)),Overview!$L$3:$L$62)+1)</f>
        <v>12</v>
      </c>
      <c r="E87" s="31" t="str">
        <f>IF(A87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87" s="34" t="str">
        <f>IF(A87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A</v>
      </c>
      <c r="G87" s="113" t="str">
        <f>IF(A87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7" s="31" t="str">
        <f>IF(A87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87" s="31">
        <f>IF(A87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87" s="34" t="str">
        <f>IF(A87="","","image"&amp;D87&amp;LOOKUP(2,1/((Overview!$L$3:$L$62&lt;=ROW()-2)*(Overview!$M$3:$M$62&gt;=ROW()-2)),Overview!$X$3:$X$62))</f>
        <v>image12.jpg</v>
      </c>
      <c r="K87" s="113" t="str">
        <f t="shared" si="5"/>
        <v>E2_17.08.26_48h_I012</v>
      </c>
      <c r="L87" s="40" t="str">
        <f>IF(U87="","",IF(V87=1,U87,IF(X87=1,W87,LEFT(W87,LEN(W87)-LEN(LOOKUP(2,1/((Overview!$L$3:$L$62&lt;=ROW()-2)*(Overview!$M$3:$M$62&gt;=ROW()-2)),Overview!$X$3:$X$62)))&amp;IF(COUNTIF($W$3:W87,W87)=1,"","__"&amp;COUNTIF($W$3:W87,W87))&amp;LOOKUP(2,1/((Overview!$L$3:$L$62&lt;=ROW()-2)*(Overview!$M$3:$M$62&gt;=ROW()-2)),Overview!$X$3:$X$62))))</f>
        <v>17.08.26_SetA_48h_YPDA + salt, 4.jpg</v>
      </c>
      <c r="M87" s="5" t="str">
        <f>IF(A87="","",LOOKUP(2,1/((Overview!$L$3:$L$62&lt;=ROW()-2)*(Overview!$M$3:$M$62&gt;=ROW()-2)),Overview!$U$3:$U$62))</f>
        <v>Arrangement 2</v>
      </c>
      <c r="N87" s="5" t="str">
        <f>IF(A87="","",LOOKUP(2,1/((Overview!$L$3:$L$62&lt;=ROW()-2)*(Overview!$M$3:$M$62&gt;=ROW()-2)),Overview!$V$3:$V$62))</f>
        <v>annotationSet 2</v>
      </c>
      <c r="O87" s="5" t="str">
        <f>IF(A87="","",LOOKUP(2,1/((Overview!$L$3:$L$62&lt;=ROW()-2)*(Overview!$M$3:$M$62&gt;=ROW()-2)),Overview!$B$3:$B$62))</f>
        <v>17.08.26</v>
      </c>
      <c r="P87" s="14">
        <f>IF(A87="","",LOOKUP(2,1/((Overview!$L$3:$L$62&lt;=ROW()-2)*(Overview!$M$3:$M$62&gt;=ROW()-2)),Overview!$S$3:$S$62))</f>
        <v>46251</v>
      </c>
      <c r="Q87" s="5" t="str">
        <f>IF(A87="","",LOOKUP(2,1/((Overview!$L$3:$L$62&lt;=ROW()-2)*(Overview!$M$3:$M$62&gt;=ROW()-2)),Overview!$C$3:$C$62))</f>
        <v>48h</v>
      </c>
      <c r="R87" s="22" t="str">
        <f>IF(E87="","",IF(AND(I87&lt;&gt;"",LOOKUP(2,1/((Overview!$L$3:$L$62&lt;=ROW()-2)*(Overview!$M$3:$M$62&gt;=ROW()-2)),Overview!$Z$3:$Z$62)&lt;&gt;""),LEFT(E87,LEN(E87)-LEN(I87))&amp;LOOKUP(2,1/((Overview!$L$3:$L$62&lt;=ROW()-2)*(Overview!$M$3:$M$62&gt;=ROW()-2)),Overview!$Z$3:$Z$62)&amp;" "&amp;I87,E87)&amp;IF(AND(Q87="",LOOKUP(2,1/((Overview!$L$3:$L$62&lt;=ROW()-2)*(Overview!$M$3:$M$62&gt;=ROW()-2)),Overview!$W$3:$W$62)=""),"",", "&amp;IF(Q87&lt;&gt;"",Q87,"")&amp;IF(AND(Q87&lt;&gt;"",LOOKUP(2,1/((Overview!$L$3:$L$62&lt;=ROW()-2)*(Overview!$M$3:$M$62&gt;=ROW()-2)),Overview!$W$3:$W$62)&lt;&gt;"")," ","")&amp;LOOKUP(2,1/((Overview!$L$3:$L$62&lt;=ROW()-2)*(Overview!$M$3:$M$62&gt;=ROW()-2)),Overview!$W$3:$W$62)))</f>
        <v>YPDA + salt, 4, 48h</v>
      </c>
      <c r="S87" t="str">
        <f t="shared" si="6"/>
        <v>Duplicate resolved by Set</v>
      </c>
      <c r="U87" s="10" t="str">
        <f>IF(A87="","",O87&amp;IF(LOOKUP(2,1/((Overview!$L$3:$L$62&lt;=ROW()-2)*(Overview!$M$3:$M$62&gt;=ROW()-2)),Overview!$T$3:$T$62)&lt;&gt;"","_"&amp;LOOKUP(2,1/((Overview!$L$3:$L$62&lt;=ROW()-2)*(Overview!$M$3:$M$62&gt;=ROW()-2)),Overview!$T$3:$T$62),"")&amp;IF(Q87&lt;&gt;"","_"&amp;Q87,"")&amp;IF(E87&lt;&gt;"","_"&amp;E87,"")&amp;LOOKUP(2,1/((Overview!$L$3:$L$62&lt;=ROW()-2)*(Overview!$M$3:$M$62&gt;=ROW()-2)),Overview!$X$3:$X$62))</f>
        <v>17.08.26_48h_YPDA + salt, 4.jpg</v>
      </c>
      <c r="V87">
        <f t="shared" si="7"/>
        <v>2</v>
      </c>
      <c r="W87" t="str">
        <f>IF(U87="","",O87&amp;IF(LOOKUP(2,1/((Overview!$L$3:$L$62&lt;=ROW()-2)*(Overview!$M$3:$M$62&gt;=ROW()-2)),Overview!$T$3:$T$62)&lt;&gt;"","_"&amp;LOOKUP(2,1/((Overview!$L$3:$L$62&lt;=ROW()-2)*(Overview!$M$3:$M$62&gt;=ROW()-2)),Overview!$T$3:$T$62),"")&amp;"_"&amp;IF(LEFT(LOWER(TRIM(F87)),3)="set",TRIM(F87),"Set"&amp;TRIM(F87))&amp;IF(Q87&lt;&gt;"","_"&amp;Q87,"")&amp;IF(E87&lt;&gt;"","_"&amp;E87,"")&amp;LOOKUP(2,1/((Overview!$L$3:$L$62&lt;=ROW()-2)*(Overview!$M$3:$M$62&gt;=ROW()-2)),Overview!$X$3:$X$62))</f>
        <v>17.08.26_SetA_48h_YPDA + salt, 4.jpg</v>
      </c>
      <c r="X87">
        <f t="shared" si="8"/>
        <v>1</v>
      </c>
    </row>
    <row r="88" spans="1:24" ht="13.9" thickBot="1">
      <c r="A88" s="5">
        <f>IF(ROW()-2&gt;SUMIFS(Overview!$K$3:$K$62,Overview!$N$3:$N$62,"OK"),"",LOOKUP(2,1/((Overview!$L$3:$L$62&lt;=ROW()-2)*(Overview!$M$3:$M$62&gt;=ROW()-2)),Overview!$R$3:$R$62))</f>
        <v>2</v>
      </c>
      <c r="B88" s="5" t="str">
        <f>IF(A88="","",LOOKUP(2,1/((Overview!$L$3:$L$62&lt;=ROW()-2)*(Overview!$M$3:$M$62&gt;=ROW()-2)),Overview!$O$3:$O$62))</f>
        <v>17.08.26_48h</v>
      </c>
      <c r="C88" s="5" t="str">
        <f>IF(A88="","",LOOKUP(2,1/((Overview!$L$3:$L$62&lt;=ROW()-2)*(Overview!$M$3:$M$62&gt;=ROW()-2)),Overview!$Y$3:$Y$62))</f>
        <v>E2_17.08.26_48h</v>
      </c>
      <c r="D88" s="45">
        <f>IF(A88="","",ROW()-2-LOOKUP(2,1/((Overview!$L$3:$L$62&lt;=ROW()-2)*(Overview!$M$3:$M$62&gt;=ROW()-2)),Overview!$L$3:$L$62)+1)</f>
        <v>13</v>
      </c>
      <c r="E88" s="24" t="str">
        <f>IF(A88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1</v>
      </c>
      <c r="F88" s="45" t="str">
        <f>IF(A88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88" s="113" t="str">
        <f>IF(A88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8" s="24" t="str">
        <f>IF(A88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88" s="24">
        <f>IF(A88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88" s="45" t="str">
        <f>IF(A88="","","image"&amp;D88&amp;LOOKUP(2,1/((Overview!$L$3:$L$62&lt;=ROW()-2)*(Overview!$M$3:$M$62&gt;=ROW()-2)),Overview!$X$3:$X$62))</f>
        <v>image13.jpg</v>
      </c>
      <c r="K88" s="113" t="str">
        <f t="shared" si="5"/>
        <v>E2_17.08.26_48h_I013</v>
      </c>
      <c r="L88" s="106" t="str">
        <f>IF(U88="","",IF(V88=1,U88,IF(X88=1,W88,LEFT(W88,LEN(W88)-LEN(LOOKUP(2,1/((Overview!$L$3:$L$62&lt;=ROW()-2)*(Overview!$M$3:$M$62&gt;=ROW()-2)),Overview!$X$3:$X$62)))&amp;IF(COUNTIF($W$3:W88,W88)=1,"","__"&amp;COUNTIF($W$3:W88,W88))&amp;LOOKUP(2,1/((Overview!$L$3:$L$62&lt;=ROW()-2)*(Overview!$M$3:$M$62&gt;=ROW()-2)),Overview!$X$3:$X$62))))</f>
        <v>17.08.26_SetB_48h_YPDA, 1.jpg</v>
      </c>
      <c r="M88" s="5" t="str">
        <f>IF(A88="","",LOOKUP(2,1/((Overview!$L$3:$L$62&lt;=ROW()-2)*(Overview!$M$3:$M$62&gt;=ROW()-2)),Overview!$U$3:$U$62))</f>
        <v>Arrangement 2</v>
      </c>
      <c r="N88" s="5" t="str">
        <f>IF(A88="","",LOOKUP(2,1/((Overview!$L$3:$L$62&lt;=ROW()-2)*(Overview!$M$3:$M$62&gt;=ROW()-2)),Overview!$V$3:$V$62))</f>
        <v>annotationSet 2</v>
      </c>
      <c r="O88" s="5" t="str">
        <f>IF(A88="","",LOOKUP(2,1/((Overview!$L$3:$L$62&lt;=ROW()-2)*(Overview!$M$3:$M$62&gt;=ROW()-2)),Overview!$B$3:$B$62))</f>
        <v>17.08.26</v>
      </c>
      <c r="P88" s="14">
        <f>IF(A88="","",LOOKUP(2,1/((Overview!$L$3:$L$62&lt;=ROW()-2)*(Overview!$M$3:$M$62&gt;=ROW()-2)),Overview!$S$3:$S$62))</f>
        <v>46251</v>
      </c>
      <c r="Q88" s="5" t="str">
        <f>IF(A88="","",LOOKUP(2,1/((Overview!$L$3:$L$62&lt;=ROW()-2)*(Overview!$M$3:$M$62&gt;=ROW()-2)),Overview!$C$3:$C$62))</f>
        <v>48h</v>
      </c>
      <c r="R88" s="22" t="str">
        <f>IF(E88="","",IF(AND(I88&lt;&gt;"",LOOKUP(2,1/((Overview!$L$3:$L$62&lt;=ROW()-2)*(Overview!$M$3:$M$62&gt;=ROW()-2)),Overview!$Z$3:$Z$62)&lt;&gt;""),LEFT(E88,LEN(E88)-LEN(I88))&amp;LOOKUP(2,1/((Overview!$L$3:$L$62&lt;=ROW()-2)*(Overview!$M$3:$M$62&gt;=ROW()-2)),Overview!$Z$3:$Z$62)&amp;" "&amp;I88,E88)&amp;IF(AND(Q88="",LOOKUP(2,1/((Overview!$L$3:$L$62&lt;=ROW()-2)*(Overview!$M$3:$M$62&gt;=ROW()-2)),Overview!$W$3:$W$62)=""),"",", "&amp;IF(Q88&lt;&gt;"",Q88,"")&amp;IF(AND(Q88&lt;&gt;"",LOOKUP(2,1/((Overview!$L$3:$L$62&lt;=ROW()-2)*(Overview!$M$3:$M$62&gt;=ROW()-2)),Overview!$W$3:$W$62)&lt;&gt;"")," ","")&amp;LOOKUP(2,1/((Overview!$L$3:$L$62&lt;=ROW()-2)*(Overview!$M$3:$M$62&gt;=ROW()-2)),Overview!$W$3:$W$62)))</f>
        <v>YPDA, 1, 48h</v>
      </c>
      <c r="S88" t="str">
        <f t="shared" si="6"/>
        <v>Duplicate resolved by Set</v>
      </c>
      <c r="U88" s="10" t="str">
        <f>IF(A88="","",O88&amp;IF(LOOKUP(2,1/((Overview!$L$3:$L$62&lt;=ROW()-2)*(Overview!$M$3:$M$62&gt;=ROW()-2)),Overview!$T$3:$T$62)&lt;&gt;"","_"&amp;LOOKUP(2,1/((Overview!$L$3:$L$62&lt;=ROW()-2)*(Overview!$M$3:$M$62&gt;=ROW()-2)),Overview!$T$3:$T$62),"")&amp;IF(Q88&lt;&gt;"","_"&amp;Q88,"")&amp;IF(E88&lt;&gt;"","_"&amp;E88,"")&amp;LOOKUP(2,1/((Overview!$L$3:$L$62&lt;=ROW()-2)*(Overview!$M$3:$M$62&gt;=ROW()-2)),Overview!$X$3:$X$62))</f>
        <v>17.08.26_48h_YPDA, 1.jpg</v>
      </c>
      <c r="V88">
        <f t="shared" si="7"/>
        <v>2</v>
      </c>
      <c r="W88" t="str">
        <f>IF(U88="","",O88&amp;IF(LOOKUP(2,1/((Overview!$L$3:$L$62&lt;=ROW()-2)*(Overview!$M$3:$M$62&gt;=ROW()-2)),Overview!$T$3:$T$62)&lt;&gt;"","_"&amp;LOOKUP(2,1/((Overview!$L$3:$L$62&lt;=ROW()-2)*(Overview!$M$3:$M$62&gt;=ROW()-2)),Overview!$T$3:$T$62),"")&amp;"_"&amp;IF(LEFT(LOWER(TRIM(F88)),3)="set",TRIM(F88),"Set"&amp;TRIM(F88))&amp;IF(Q88&lt;&gt;"","_"&amp;Q88,"")&amp;IF(E88&lt;&gt;"","_"&amp;E88,"")&amp;LOOKUP(2,1/((Overview!$L$3:$L$62&lt;=ROW()-2)*(Overview!$M$3:$M$62&gt;=ROW()-2)),Overview!$X$3:$X$62))</f>
        <v>17.08.26_SetB_48h_YPDA, 1.jpg</v>
      </c>
      <c r="X88">
        <f t="shared" si="8"/>
        <v>1</v>
      </c>
    </row>
    <row r="89" spans="1:24" ht="13.9" thickBot="1">
      <c r="A89" s="5">
        <f>IF(ROW()-2&gt;SUMIFS(Overview!$K$3:$K$62,Overview!$N$3:$N$62,"OK"),"",LOOKUP(2,1/((Overview!$L$3:$L$62&lt;=ROW()-2)*(Overview!$M$3:$M$62&gt;=ROW()-2)),Overview!$R$3:$R$62))</f>
        <v>2</v>
      </c>
      <c r="B89" s="5" t="str">
        <f>IF(A89="","",LOOKUP(2,1/((Overview!$L$3:$L$62&lt;=ROW()-2)*(Overview!$M$3:$M$62&gt;=ROW()-2)),Overview!$O$3:$O$62))</f>
        <v>17.08.26_48h</v>
      </c>
      <c r="C89" s="5" t="str">
        <f>IF(A89="","",LOOKUP(2,1/((Overview!$L$3:$L$62&lt;=ROW()-2)*(Overview!$M$3:$M$62&gt;=ROW()-2)),Overview!$Y$3:$Y$62))</f>
        <v>E2_17.08.26_48h</v>
      </c>
      <c r="D89" s="45">
        <f>IF(A89="","",ROW()-2-LOOKUP(2,1/((Overview!$L$3:$L$62&lt;=ROW()-2)*(Overview!$M$3:$M$62&gt;=ROW()-2)),Overview!$L$3:$L$62)+1)</f>
        <v>14</v>
      </c>
      <c r="E89" s="24" t="str">
        <f>IF(A89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2</v>
      </c>
      <c r="F89" s="45" t="str">
        <f>IF(A89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89" s="113" t="str">
        <f>IF(A89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89" s="24" t="str">
        <f>IF(A89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89" s="24">
        <f>IF(A89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89" s="45" t="str">
        <f>IF(A89="","","image"&amp;D89&amp;LOOKUP(2,1/((Overview!$L$3:$L$62&lt;=ROW()-2)*(Overview!$M$3:$M$62&gt;=ROW()-2)),Overview!$X$3:$X$62))</f>
        <v>image14.jpg</v>
      </c>
      <c r="K89" s="113" t="str">
        <f t="shared" si="5"/>
        <v>E2_17.08.26_48h_I014</v>
      </c>
      <c r="L89" s="106" t="str">
        <f>IF(U89="","",IF(V89=1,U89,IF(X89=1,W89,LEFT(W89,LEN(W89)-LEN(LOOKUP(2,1/((Overview!$L$3:$L$62&lt;=ROW()-2)*(Overview!$M$3:$M$62&gt;=ROW()-2)),Overview!$X$3:$X$62)))&amp;IF(COUNTIF($W$3:W89,W89)=1,"","__"&amp;COUNTIF($W$3:W89,W89))&amp;LOOKUP(2,1/((Overview!$L$3:$L$62&lt;=ROW()-2)*(Overview!$M$3:$M$62&gt;=ROW()-2)),Overview!$X$3:$X$62))))</f>
        <v>17.08.26_SetB_48h_YPDA, 2.jpg</v>
      </c>
      <c r="M89" s="5" t="str">
        <f>IF(A89="","",LOOKUP(2,1/((Overview!$L$3:$L$62&lt;=ROW()-2)*(Overview!$M$3:$M$62&gt;=ROW()-2)),Overview!$U$3:$U$62))</f>
        <v>Arrangement 2</v>
      </c>
      <c r="N89" s="5" t="str">
        <f>IF(A89="","",LOOKUP(2,1/((Overview!$L$3:$L$62&lt;=ROW()-2)*(Overview!$M$3:$M$62&gt;=ROW()-2)),Overview!$V$3:$V$62))</f>
        <v>annotationSet 2</v>
      </c>
      <c r="O89" s="5" t="str">
        <f>IF(A89="","",LOOKUP(2,1/((Overview!$L$3:$L$62&lt;=ROW()-2)*(Overview!$M$3:$M$62&gt;=ROW()-2)),Overview!$B$3:$B$62))</f>
        <v>17.08.26</v>
      </c>
      <c r="P89" s="14">
        <f>IF(A89="","",LOOKUP(2,1/((Overview!$L$3:$L$62&lt;=ROW()-2)*(Overview!$M$3:$M$62&gt;=ROW()-2)),Overview!$S$3:$S$62))</f>
        <v>46251</v>
      </c>
      <c r="Q89" s="5" t="str">
        <f>IF(A89="","",LOOKUP(2,1/((Overview!$L$3:$L$62&lt;=ROW()-2)*(Overview!$M$3:$M$62&gt;=ROW()-2)),Overview!$C$3:$C$62))</f>
        <v>48h</v>
      </c>
      <c r="R89" s="22" t="str">
        <f>IF(E89="","",IF(AND(I89&lt;&gt;"",LOOKUP(2,1/((Overview!$L$3:$L$62&lt;=ROW()-2)*(Overview!$M$3:$M$62&gt;=ROW()-2)),Overview!$Z$3:$Z$62)&lt;&gt;""),LEFT(E89,LEN(E89)-LEN(I89))&amp;LOOKUP(2,1/((Overview!$L$3:$L$62&lt;=ROW()-2)*(Overview!$M$3:$M$62&gt;=ROW()-2)),Overview!$Z$3:$Z$62)&amp;" "&amp;I89,E89)&amp;IF(AND(Q89="",LOOKUP(2,1/((Overview!$L$3:$L$62&lt;=ROW()-2)*(Overview!$M$3:$M$62&gt;=ROW()-2)),Overview!$W$3:$W$62)=""),"",", "&amp;IF(Q89&lt;&gt;"",Q89,"")&amp;IF(AND(Q89&lt;&gt;"",LOOKUP(2,1/((Overview!$L$3:$L$62&lt;=ROW()-2)*(Overview!$M$3:$M$62&gt;=ROW()-2)),Overview!$W$3:$W$62)&lt;&gt;"")," ","")&amp;LOOKUP(2,1/((Overview!$L$3:$L$62&lt;=ROW()-2)*(Overview!$M$3:$M$62&gt;=ROW()-2)),Overview!$W$3:$W$62)))</f>
        <v>YPDA, 2, 48h</v>
      </c>
      <c r="S89" t="str">
        <f t="shared" si="6"/>
        <v>Duplicate resolved by Set</v>
      </c>
      <c r="U89" s="10" t="str">
        <f>IF(A89="","",O89&amp;IF(LOOKUP(2,1/((Overview!$L$3:$L$62&lt;=ROW()-2)*(Overview!$M$3:$M$62&gt;=ROW()-2)),Overview!$T$3:$T$62)&lt;&gt;"","_"&amp;LOOKUP(2,1/((Overview!$L$3:$L$62&lt;=ROW()-2)*(Overview!$M$3:$M$62&gt;=ROW()-2)),Overview!$T$3:$T$62),"")&amp;IF(Q89&lt;&gt;"","_"&amp;Q89,"")&amp;IF(E89&lt;&gt;"","_"&amp;E89,"")&amp;LOOKUP(2,1/((Overview!$L$3:$L$62&lt;=ROW()-2)*(Overview!$M$3:$M$62&gt;=ROW()-2)),Overview!$X$3:$X$62))</f>
        <v>17.08.26_48h_YPDA, 2.jpg</v>
      </c>
      <c r="V89">
        <f t="shared" si="7"/>
        <v>2</v>
      </c>
      <c r="W89" t="str">
        <f>IF(U89="","",O89&amp;IF(LOOKUP(2,1/((Overview!$L$3:$L$62&lt;=ROW()-2)*(Overview!$M$3:$M$62&gt;=ROW()-2)),Overview!$T$3:$T$62)&lt;&gt;"","_"&amp;LOOKUP(2,1/((Overview!$L$3:$L$62&lt;=ROW()-2)*(Overview!$M$3:$M$62&gt;=ROW()-2)),Overview!$T$3:$T$62),"")&amp;"_"&amp;IF(LEFT(LOWER(TRIM(F89)),3)="set",TRIM(F89),"Set"&amp;TRIM(F89))&amp;IF(Q89&lt;&gt;"","_"&amp;Q89,"")&amp;IF(E89&lt;&gt;"","_"&amp;E89,"")&amp;LOOKUP(2,1/((Overview!$L$3:$L$62&lt;=ROW()-2)*(Overview!$M$3:$M$62&gt;=ROW()-2)),Overview!$X$3:$X$62))</f>
        <v>17.08.26_SetB_48h_YPDA, 2.jpg</v>
      </c>
      <c r="X89">
        <f t="shared" si="8"/>
        <v>1</v>
      </c>
    </row>
    <row r="90" spans="1:24" ht="13.9" thickBot="1">
      <c r="A90" s="5">
        <f>IF(ROW()-2&gt;SUMIFS(Overview!$K$3:$K$62,Overview!$N$3:$N$62,"OK"),"",LOOKUP(2,1/((Overview!$L$3:$L$62&lt;=ROW()-2)*(Overview!$M$3:$M$62&gt;=ROW()-2)),Overview!$R$3:$R$62))</f>
        <v>2</v>
      </c>
      <c r="B90" s="5" t="str">
        <f>IF(A90="","",LOOKUP(2,1/((Overview!$L$3:$L$62&lt;=ROW()-2)*(Overview!$M$3:$M$62&gt;=ROW()-2)),Overview!$O$3:$O$62))</f>
        <v>17.08.26_48h</v>
      </c>
      <c r="C90" s="5" t="str">
        <f>IF(A90="","",LOOKUP(2,1/((Overview!$L$3:$L$62&lt;=ROW()-2)*(Overview!$M$3:$M$62&gt;=ROW()-2)),Overview!$Y$3:$Y$62))</f>
        <v>E2_17.08.26_48h</v>
      </c>
      <c r="D90" s="45">
        <f>IF(A90="","",ROW()-2-LOOKUP(2,1/((Overview!$L$3:$L$62&lt;=ROW()-2)*(Overview!$M$3:$M$62&gt;=ROW()-2)),Overview!$L$3:$L$62)+1)</f>
        <v>15</v>
      </c>
      <c r="E90" s="24" t="str">
        <f>IF(A90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3</v>
      </c>
      <c r="F90" s="45" t="str">
        <f>IF(A90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0" s="113" t="str">
        <f>IF(A90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0" s="24" t="str">
        <f>IF(A90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90" s="24">
        <f>IF(A90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90" s="45" t="str">
        <f>IF(A90="","","image"&amp;D90&amp;LOOKUP(2,1/((Overview!$L$3:$L$62&lt;=ROW()-2)*(Overview!$M$3:$M$62&gt;=ROW()-2)),Overview!$X$3:$X$62))</f>
        <v>image15.jpg</v>
      </c>
      <c r="K90" s="113" t="str">
        <f t="shared" si="5"/>
        <v>E2_17.08.26_48h_I015</v>
      </c>
      <c r="L90" s="106" t="str">
        <f>IF(U90="","",IF(V90=1,U90,IF(X90=1,W90,LEFT(W90,LEN(W90)-LEN(LOOKUP(2,1/((Overview!$L$3:$L$62&lt;=ROW()-2)*(Overview!$M$3:$M$62&gt;=ROW()-2)),Overview!$X$3:$X$62)))&amp;IF(COUNTIF($W$3:W90,W90)=1,"","__"&amp;COUNTIF($W$3:W90,W90))&amp;LOOKUP(2,1/((Overview!$L$3:$L$62&lt;=ROW()-2)*(Overview!$M$3:$M$62&gt;=ROW()-2)),Overview!$X$3:$X$62))))</f>
        <v>17.08.26_SetB_48h_YPDA, 3.jpg</v>
      </c>
      <c r="M90" s="5" t="str">
        <f>IF(A90="","",LOOKUP(2,1/((Overview!$L$3:$L$62&lt;=ROW()-2)*(Overview!$M$3:$M$62&gt;=ROW()-2)),Overview!$U$3:$U$62))</f>
        <v>Arrangement 2</v>
      </c>
      <c r="N90" s="5" t="str">
        <f>IF(A90="","",LOOKUP(2,1/((Overview!$L$3:$L$62&lt;=ROW()-2)*(Overview!$M$3:$M$62&gt;=ROW()-2)),Overview!$V$3:$V$62))</f>
        <v>annotationSet 2</v>
      </c>
      <c r="O90" s="5" t="str">
        <f>IF(A90="","",LOOKUP(2,1/((Overview!$L$3:$L$62&lt;=ROW()-2)*(Overview!$M$3:$M$62&gt;=ROW()-2)),Overview!$B$3:$B$62))</f>
        <v>17.08.26</v>
      </c>
      <c r="P90" s="14">
        <f>IF(A90="","",LOOKUP(2,1/((Overview!$L$3:$L$62&lt;=ROW()-2)*(Overview!$M$3:$M$62&gt;=ROW()-2)),Overview!$S$3:$S$62))</f>
        <v>46251</v>
      </c>
      <c r="Q90" s="5" t="str">
        <f>IF(A90="","",LOOKUP(2,1/((Overview!$L$3:$L$62&lt;=ROW()-2)*(Overview!$M$3:$M$62&gt;=ROW()-2)),Overview!$C$3:$C$62))</f>
        <v>48h</v>
      </c>
      <c r="R90" s="22" t="str">
        <f>IF(E90="","",IF(AND(I90&lt;&gt;"",LOOKUP(2,1/((Overview!$L$3:$L$62&lt;=ROW()-2)*(Overview!$M$3:$M$62&gt;=ROW()-2)),Overview!$Z$3:$Z$62)&lt;&gt;""),LEFT(E90,LEN(E90)-LEN(I90))&amp;LOOKUP(2,1/((Overview!$L$3:$L$62&lt;=ROW()-2)*(Overview!$M$3:$M$62&gt;=ROW()-2)),Overview!$Z$3:$Z$62)&amp;" "&amp;I90,E90)&amp;IF(AND(Q90="",LOOKUP(2,1/((Overview!$L$3:$L$62&lt;=ROW()-2)*(Overview!$M$3:$M$62&gt;=ROW()-2)),Overview!$W$3:$W$62)=""),"",", "&amp;IF(Q90&lt;&gt;"",Q90,"")&amp;IF(AND(Q90&lt;&gt;"",LOOKUP(2,1/((Overview!$L$3:$L$62&lt;=ROW()-2)*(Overview!$M$3:$M$62&gt;=ROW()-2)),Overview!$W$3:$W$62)&lt;&gt;"")," ","")&amp;LOOKUP(2,1/((Overview!$L$3:$L$62&lt;=ROW()-2)*(Overview!$M$3:$M$62&gt;=ROW()-2)),Overview!$W$3:$W$62)))</f>
        <v>YPDA, 3, 48h</v>
      </c>
      <c r="S90" t="str">
        <f t="shared" si="6"/>
        <v>Duplicate resolved by Set</v>
      </c>
      <c r="U90" s="10" t="str">
        <f>IF(A90="","",O90&amp;IF(LOOKUP(2,1/((Overview!$L$3:$L$62&lt;=ROW()-2)*(Overview!$M$3:$M$62&gt;=ROW()-2)),Overview!$T$3:$T$62)&lt;&gt;"","_"&amp;LOOKUP(2,1/((Overview!$L$3:$L$62&lt;=ROW()-2)*(Overview!$M$3:$M$62&gt;=ROW()-2)),Overview!$T$3:$T$62),"")&amp;IF(Q90&lt;&gt;"","_"&amp;Q90,"")&amp;IF(E90&lt;&gt;"","_"&amp;E90,"")&amp;LOOKUP(2,1/((Overview!$L$3:$L$62&lt;=ROW()-2)*(Overview!$M$3:$M$62&gt;=ROW()-2)),Overview!$X$3:$X$62))</f>
        <v>17.08.26_48h_YPDA, 3.jpg</v>
      </c>
      <c r="V90">
        <f t="shared" si="7"/>
        <v>2</v>
      </c>
      <c r="W90" t="str">
        <f>IF(U90="","",O90&amp;IF(LOOKUP(2,1/((Overview!$L$3:$L$62&lt;=ROW()-2)*(Overview!$M$3:$M$62&gt;=ROW()-2)),Overview!$T$3:$T$62)&lt;&gt;"","_"&amp;LOOKUP(2,1/((Overview!$L$3:$L$62&lt;=ROW()-2)*(Overview!$M$3:$M$62&gt;=ROW()-2)),Overview!$T$3:$T$62),"")&amp;"_"&amp;IF(LEFT(LOWER(TRIM(F90)),3)="set",TRIM(F90),"Set"&amp;TRIM(F90))&amp;IF(Q90&lt;&gt;"","_"&amp;Q90,"")&amp;IF(E90&lt;&gt;"","_"&amp;E90,"")&amp;LOOKUP(2,1/((Overview!$L$3:$L$62&lt;=ROW()-2)*(Overview!$M$3:$M$62&gt;=ROW()-2)),Overview!$X$3:$X$62))</f>
        <v>17.08.26_SetB_48h_YPDA, 3.jpg</v>
      </c>
      <c r="X90">
        <f t="shared" si="8"/>
        <v>1</v>
      </c>
    </row>
    <row r="91" spans="1:24" ht="13.9" thickBot="1">
      <c r="A91" s="5">
        <f>IF(ROW()-2&gt;SUMIFS(Overview!$K$3:$K$62,Overview!$N$3:$N$62,"OK"),"",LOOKUP(2,1/((Overview!$L$3:$L$62&lt;=ROW()-2)*(Overview!$M$3:$M$62&gt;=ROW()-2)),Overview!$R$3:$R$62))</f>
        <v>2</v>
      </c>
      <c r="B91" s="5" t="str">
        <f>IF(A91="","",LOOKUP(2,1/((Overview!$L$3:$L$62&lt;=ROW()-2)*(Overview!$M$3:$M$62&gt;=ROW()-2)),Overview!$O$3:$O$62))</f>
        <v>17.08.26_48h</v>
      </c>
      <c r="C91" s="5" t="str">
        <f>IF(A91="","",LOOKUP(2,1/((Overview!$L$3:$L$62&lt;=ROW()-2)*(Overview!$M$3:$M$62&gt;=ROW()-2)),Overview!$Y$3:$Y$62))</f>
        <v>E2_17.08.26_48h</v>
      </c>
      <c r="D91" s="45">
        <f>IF(A91="","",ROW()-2-LOOKUP(2,1/((Overview!$L$3:$L$62&lt;=ROW()-2)*(Overview!$M$3:$M$62&gt;=ROW()-2)),Overview!$L$3:$L$62)+1)</f>
        <v>16</v>
      </c>
      <c r="E91" s="24" t="str">
        <f>IF(A91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YPDA, 4</v>
      </c>
      <c r="F91" s="45" t="str">
        <f>IF(A91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1" s="113" t="str">
        <f>IF(A91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1" s="24" t="str">
        <f>IF(A91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91" s="24">
        <f>IF(A91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91" s="45" t="str">
        <f>IF(A91="","","image"&amp;D91&amp;LOOKUP(2,1/((Overview!$L$3:$L$62&lt;=ROW()-2)*(Overview!$M$3:$M$62&gt;=ROW()-2)),Overview!$X$3:$X$62))</f>
        <v>image16.jpg</v>
      </c>
      <c r="K91" s="113" t="str">
        <f t="shared" si="5"/>
        <v>E2_17.08.26_48h_I016</v>
      </c>
      <c r="L91" s="106" t="str">
        <f>IF(U91="","",IF(V91=1,U91,IF(X91=1,W91,LEFT(W91,LEN(W91)-LEN(LOOKUP(2,1/((Overview!$L$3:$L$62&lt;=ROW()-2)*(Overview!$M$3:$M$62&gt;=ROW()-2)),Overview!$X$3:$X$62)))&amp;IF(COUNTIF($W$3:W91,W91)=1,"","__"&amp;COUNTIF($W$3:W91,W91))&amp;LOOKUP(2,1/((Overview!$L$3:$L$62&lt;=ROW()-2)*(Overview!$M$3:$M$62&gt;=ROW()-2)),Overview!$X$3:$X$62))))</f>
        <v>17.08.26_SetB_48h_YPDA, 4.jpg</v>
      </c>
      <c r="M91" s="5" t="str">
        <f>IF(A91="","",LOOKUP(2,1/((Overview!$L$3:$L$62&lt;=ROW()-2)*(Overview!$M$3:$M$62&gt;=ROW()-2)),Overview!$U$3:$U$62))</f>
        <v>Arrangement 2</v>
      </c>
      <c r="N91" s="5" t="str">
        <f>IF(A91="","",LOOKUP(2,1/((Overview!$L$3:$L$62&lt;=ROW()-2)*(Overview!$M$3:$M$62&gt;=ROW()-2)),Overview!$V$3:$V$62))</f>
        <v>annotationSet 2</v>
      </c>
      <c r="O91" s="5" t="str">
        <f>IF(A91="","",LOOKUP(2,1/((Overview!$L$3:$L$62&lt;=ROW()-2)*(Overview!$M$3:$M$62&gt;=ROW()-2)),Overview!$B$3:$B$62))</f>
        <v>17.08.26</v>
      </c>
      <c r="P91" s="14">
        <f>IF(A91="","",LOOKUP(2,1/((Overview!$L$3:$L$62&lt;=ROW()-2)*(Overview!$M$3:$M$62&gt;=ROW()-2)),Overview!$S$3:$S$62))</f>
        <v>46251</v>
      </c>
      <c r="Q91" s="5" t="str">
        <f>IF(A91="","",LOOKUP(2,1/((Overview!$L$3:$L$62&lt;=ROW()-2)*(Overview!$M$3:$M$62&gt;=ROW()-2)),Overview!$C$3:$C$62))</f>
        <v>48h</v>
      </c>
      <c r="R91" s="22" t="str">
        <f>IF(E91="","",IF(AND(I91&lt;&gt;"",LOOKUP(2,1/((Overview!$L$3:$L$62&lt;=ROW()-2)*(Overview!$M$3:$M$62&gt;=ROW()-2)),Overview!$Z$3:$Z$62)&lt;&gt;""),LEFT(E91,LEN(E91)-LEN(I91))&amp;LOOKUP(2,1/((Overview!$L$3:$L$62&lt;=ROW()-2)*(Overview!$M$3:$M$62&gt;=ROW()-2)),Overview!$Z$3:$Z$62)&amp;" "&amp;I91,E91)&amp;IF(AND(Q91="",LOOKUP(2,1/((Overview!$L$3:$L$62&lt;=ROW()-2)*(Overview!$M$3:$M$62&gt;=ROW()-2)),Overview!$W$3:$W$62)=""),"",", "&amp;IF(Q91&lt;&gt;"",Q91,"")&amp;IF(AND(Q91&lt;&gt;"",LOOKUP(2,1/((Overview!$L$3:$L$62&lt;=ROW()-2)*(Overview!$M$3:$M$62&gt;=ROW()-2)),Overview!$W$3:$W$62)&lt;&gt;"")," ","")&amp;LOOKUP(2,1/((Overview!$L$3:$L$62&lt;=ROW()-2)*(Overview!$M$3:$M$62&gt;=ROW()-2)),Overview!$W$3:$W$62)))</f>
        <v>YPDA, 4, 48h</v>
      </c>
      <c r="S91" t="str">
        <f t="shared" si="6"/>
        <v>Duplicate resolved by Set</v>
      </c>
      <c r="U91" s="10" t="str">
        <f>IF(A91="","",O91&amp;IF(LOOKUP(2,1/((Overview!$L$3:$L$62&lt;=ROW()-2)*(Overview!$M$3:$M$62&gt;=ROW()-2)),Overview!$T$3:$T$62)&lt;&gt;"","_"&amp;LOOKUP(2,1/((Overview!$L$3:$L$62&lt;=ROW()-2)*(Overview!$M$3:$M$62&gt;=ROW()-2)),Overview!$T$3:$T$62),"")&amp;IF(Q91&lt;&gt;"","_"&amp;Q91,"")&amp;IF(E91&lt;&gt;"","_"&amp;E91,"")&amp;LOOKUP(2,1/((Overview!$L$3:$L$62&lt;=ROW()-2)*(Overview!$M$3:$M$62&gt;=ROW()-2)),Overview!$X$3:$X$62))</f>
        <v>17.08.26_48h_YPDA, 4.jpg</v>
      </c>
      <c r="V91">
        <f t="shared" si="7"/>
        <v>2</v>
      </c>
      <c r="W91" t="str">
        <f>IF(U91="","",O91&amp;IF(LOOKUP(2,1/((Overview!$L$3:$L$62&lt;=ROW()-2)*(Overview!$M$3:$M$62&gt;=ROW()-2)),Overview!$T$3:$T$62)&lt;&gt;"","_"&amp;LOOKUP(2,1/((Overview!$L$3:$L$62&lt;=ROW()-2)*(Overview!$M$3:$M$62&gt;=ROW()-2)),Overview!$T$3:$T$62),"")&amp;"_"&amp;IF(LEFT(LOWER(TRIM(F91)),3)="set",TRIM(F91),"Set"&amp;TRIM(F91))&amp;IF(Q91&lt;&gt;"","_"&amp;Q91,"")&amp;IF(E91&lt;&gt;"","_"&amp;E91,"")&amp;LOOKUP(2,1/((Overview!$L$3:$L$62&lt;=ROW()-2)*(Overview!$M$3:$M$62&gt;=ROW()-2)),Overview!$X$3:$X$62))</f>
        <v>17.08.26_SetB_48h_YPDA, 4.jpg</v>
      </c>
      <c r="X91">
        <f t="shared" si="8"/>
        <v>1</v>
      </c>
    </row>
    <row r="92" spans="1:24" ht="13.9" thickBot="1">
      <c r="A92" s="5">
        <f>IF(ROW()-2&gt;SUMIFS(Overview!$K$3:$K$62,Overview!$N$3:$N$62,"OK"),"",LOOKUP(2,1/((Overview!$L$3:$L$62&lt;=ROW()-2)*(Overview!$M$3:$M$62&gt;=ROW()-2)),Overview!$R$3:$R$62))</f>
        <v>2</v>
      </c>
      <c r="B92" s="5" t="str">
        <f>IF(A92="","",LOOKUP(2,1/((Overview!$L$3:$L$62&lt;=ROW()-2)*(Overview!$M$3:$M$62&gt;=ROW()-2)),Overview!$O$3:$O$62))</f>
        <v>17.08.26_48h</v>
      </c>
      <c r="C92" s="5" t="str">
        <f>IF(A92="","",LOOKUP(2,1/((Overview!$L$3:$L$62&lt;=ROW()-2)*(Overview!$M$3:$M$62&gt;=ROW()-2)),Overview!$Y$3:$Y$62))</f>
        <v>E2_17.08.26_48h</v>
      </c>
      <c r="D92" s="45">
        <f>IF(A92="","",ROW()-2-LOOKUP(2,1/((Overview!$L$3:$L$62&lt;=ROW()-2)*(Overview!$M$3:$M$62&gt;=ROW()-2)),Overview!$L$3:$L$62)+1)</f>
        <v>17</v>
      </c>
      <c r="E92" s="30" t="str">
        <f>IF(A92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1</v>
      </c>
      <c r="F92" s="45" t="str">
        <f>IF(A92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2" s="113" t="str">
        <f>IF(A92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2" s="30" t="str">
        <f>IF(A92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92" s="30">
        <f>IF(A92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92" s="45" t="str">
        <f>IF(A92="","","image"&amp;D92&amp;LOOKUP(2,1/((Overview!$L$3:$L$62&lt;=ROW()-2)*(Overview!$M$3:$M$62&gt;=ROW()-2)),Overview!$X$3:$X$62))</f>
        <v>image17.jpg</v>
      </c>
      <c r="K92" s="113" t="str">
        <f t="shared" si="5"/>
        <v>E2_17.08.26_48h_I017</v>
      </c>
      <c r="L92" s="106" t="str">
        <f>IF(U92="","",IF(V92=1,U92,IF(X92=1,W92,LEFT(W92,LEN(W92)-LEN(LOOKUP(2,1/((Overview!$L$3:$L$62&lt;=ROW()-2)*(Overview!$M$3:$M$62&gt;=ROW()-2)),Overview!$X$3:$X$62)))&amp;IF(COUNTIF($W$3:W92,W92)=1,"","__"&amp;COUNTIF($W$3:W92,W92))&amp;LOOKUP(2,1/((Overview!$L$3:$L$62&lt;=ROW()-2)*(Overview!$M$3:$M$62&gt;=ROW()-2)),Overview!$X$3:$X$62))))</f>
        <v>17.08.26_SetB_48h_YPDA + heat, 1.jpg</v>
      </c>
      <c r="M92" s="5" t="str">
        <f>IF(A92="","",LOOKUP(2,1/((Overview!$L$3:$L$62&lt;=ROW()-2)*(Overview!$M$3:$M$62&gt;=ROW()-2)),Overview!$U$3:$U$62))</f>
        <v>Arrangement 2</v>
      </c>
      <c r="N92" s="5" t="str">
        <f>IF(A92="","",LOOKUP(2,1/((Overview!$L$3:$L$62&lt;=ROW()-2)*(Overview!$M$3:$M$62&gt;=ROW()-2)),Overview!$V$3:$V$62))</f>
        <v>annotationSet 2</v>
      </c>
      <c r="O92" s="5" t="str">
        <f>IF(A92="","",LOOKUP(2,1/((Overview!$L$3:$L$62&lt;=ROW()-2)*(Overview!$M$3:$M$62&gt;=ROW()-2)),Overview!$B$3:$B$62))</f>
        <v>17.08.26</v>
      </c>
      <c r="P92" s="14">
        <f>IF(A92="","",LOOKUP(2,1/((Overview!$L$3:$L$62&lt;=ROW()-2)*(Overview!$M$3:$M$62&gt;=ROW()-2)),Overview!$S$3:$S$62))</f>
        <v>46251</v>
      </c>
      <c r="Q92" s="5" t="str">
        <f>IF(A92="","",LOOKUP(2,1/((Overview!$L$3:$L$62&lt;=ROW()-2)*(Overview!$M$3:$M$62&gt;=ROW()-2)),Overview!$C$3:$C$62))</f>
        <v>48h</v>
      </c>
      <c r="R92" s="22" t="str">
        <f>IF(E92="","",IF(AND(I92&lt;&gt;"",LOOKUP(2,1/((Overview!$L$3:$L$62&lt;=ROW()-2)*(Overview!$M$3:$M$62&gt;=ROW()-2)),Overview!$Z$3:$Z$62)&lt;&gt;""),LEFT(E92,LEN(E92)-LEN(I92))&amp;LOOKUP(2,1/((Overview!$L$3:$L$62&lt;=ROW()-2)*(Overview!$M$3:$M$62&gt;=ROW()-2)),Overview!$Z$3:$Z$62)&amp;" "&amp;I92,E92)&amp;IF(AND(Q92="",LOOKUP(2,1/((Overview!$L$3:$L$62&lt;=ROW()-2)*(Overview!$M$3:$M$62&gt;=ROW()-2)),Overview!$W$3:$W$62)=""),"",", "&amp;IF(Q92&lt;&gt;"",Q92,"")&amp;IF(AND(Q92&lt;&gt;"",LOOKUP(2,1/((Overview!$L$3:$L$62&lt;=ROW()-2)*(Overview!$M$3:$M$62&gt;=ROW()-2)),Overview!$W$3:$W$62)&lt;&gt;"")," ","")&amp;LOOKUP(2,1/((Overview!$L$3:$L$62&lt;=ROW()-2)*(Overview!$M$3:$M$62&gt;=ROW()-2)),Overview!$W$3:$W$62)))</f>
        <v>YPDA + heat, 1, 48h</v>
      </c>
      <c r="S92" t="str">
        <f t="shared" si="6"/>
        <v>Duplicate resolved by Set</v>
      </c>
      <c r="U92" s="10" t="str">
        <f>IF(A92="","",O92&amp;IF(LOOKUP(2,1/((Overview!$L$3:$L$62&lt;=ROW()-2)*(Overview!$M$3:$M$62&gt;=ROW()-2)),Overview!$T$3:$T$62)&lt;&gt;"","_"&amp;LOOKUP(2,1/((Overview!$L$3:$L$62&lt;=ROW()-2)*(Overview!$M$3:$M$62&gt;=ROW()-2)),Overview!$T$3:$T$62),"")&amp;IF(Q92&lt;&gt;"","_"&amp;Q92,"")&amp;IF(E92&lt;&gt;"","_"&amp;E92,"")&amp;LOOKUP(2,1/((Overview!$L$3:$L$62&lt;=ROW()-2)*(Overview!$M$3:$M$62&gt;=ROW()-2)),Overview!$X$3:$X$62))</f>
        <v>17.08.26_48h_YPDA + heat, 1.jpg</v>
      </c>
      <c r="V92">
        <f t="shared" si="7"/>
        <v>2</v>
      </c>
      <c r="W92" t="str">
        <f>IF(U92="","",O92&amp;IF(LOOKUP(2,1/((Overview!$L$3:$L$62&lt;=ROW()-2)*(Overview!$M$3:$M$62&gt;=ROW()-2)),Overview!$T$3:$T$62)&lt;&gt;"","_"&amp;LOOKUP(2,1/((Overview!$L$3:$L$62&lt;=ROW()-2)*(Overview!$M$3:$M$62&gt;=ROW()-2)),Overview!$T$3:$T$62),"")&amp;"_"&amp;IF(LEFT(LOWER(TRIM(F92)),3)="set",TRIM(F92),"Set"&amp;TRIM(F92))&amp;IF(Q92&lt;&gt;"","_"&amp;Q92,"")&amp;IF(E92&lt;&gt;"","_"&amp;E92,"")&amp;LOOKUP(2,1/((Overview!$L$3:$L$62&lt;=ROW()-2)*(Overview!$M$3:$M$62&gt;=ROW()-2)),Overview!$X$3:$X$62))</f>
        <v>17.08.26_SetB_48h_YPDA + heat, 1.jpg</v>
      </c>
      <c r="X92">
        <f t="shared" si="8"/>
        <v>1</v>
      </c>
    </row>
    <row r="93" spans="1:24" ht="13.9" thickBot="1">
      <c r="A93" s="5">
        <f>IF(ROW()-2&gt;SUMIFS(Overview!$K$3:$K$62,Overview!$N$3:$N$62,"OK"),"",LOOKUP(2,1/((Overview!$L$3:$L$62&lt;=ROW()-2)*(Overview!$M$3:$M$62&gt;=ROW()-2)),Overview!$R$3:$R$62))</f>
        <v>2</v>
      </c>
      <c r="B93" s="5" t="str">
        <f>IF(A93="","",LOOKUP(2,1/((Overview!$L$3:$L$62&lt;=ROW()-2)*(Overview!$M$3:$M$62&gt;=ROW()-2)),Overview!$O$3:$O$62))</f>
        <v>17.08.26_48h</v>
      </c>
      <c r="C93" s="5" t="str">
        <f>IF(A93="","",LOOKUP(2,1/((Overview!$L$3:$L$62&lt;=ROW()-2)*(Overview!$M$3:$M$62&gt;=ROW()-2)),Overview!$Y$3:$Y$62))</f>
        <v>E2_17.08.26_48h</v>
      </c>
      <c r="D93" s="45">
        <f>IF(A93="","",ROW()-2-LOOKUP(2,1/((Overview!$L$3:$L$62&lt;=ROW()-2)*(Overview!$M$3:$M$62&gt;=ROW()-2)),Overview!$L$3:$L$62)+1)</f>
        <v>18</v>
      </c>
      <c r="E93" s="30" t="str">
        <f>IF(A93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2</v>
      </c>
      <c r="F93" s="45" t="str">
        <f>IF(A93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3" s="113" t="str">
        <f>IF(A93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3" s="30" t="str">
        <f>IF(A93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93" s="30">
        <f>IF(A93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93" s="45" t="str">
        <f>IF(A93="","","image"&amp;D93&amp;LOOKUP(2,1/((Overview!$L$3:$L$62&lt;=ROW()-2)*(Overview!$M$3:$M$62&gt;=ROW()-2)),Overview!$X$3:$X$62))</f>
        <v>image18.jpg</v>
      </c>
      <c r="K93" s="113" t="str">
        <f t="shared" si="5"/>
        <v>E2_17.08.26_48h_I018</v>
      </c>
      <c r="L93" s="106" t="str">
        <f>IF(U93="","",IF(V93=1,U93,IF(X93=1,W93,LEFT(W93,LEN(W93)-LEN(LOOKUP(2,1/((Overview!$L$3:$L$62&lt;=ROW()-2)*(Overview!$M$3:$M$62&gt;=ROW()-2)),Overview!$X$3:$X$62)))&amp;IF(COUNTIF($W$3:W93,W93)=1,"","__"&amp;COUNTIF($W$3:W93,W93))&amp;LOOKUP(2,1/((Overview!$L$3:$L$62&lt;=ROW()-2)*(Overview!$M$3:$M$62&gt;=ROW()-2)),Overview!$X$3:$X$62))))</f>
        <v>17.08.26_SetB_48h_YPDA + heat, 2.jpg</v>
      </c>
      <c r="M93" s="5" t="str">
        <f>IF(A93="","",LOOKUP(2,1/((Overview!$L$3:$L$62&lt;=ROW()-2)*(Overview!$M$3:$M$62&gt;=ROW()-2)),Overview!$U$3:$U$62))</f>
        <v>Arrangement 2</v>
      </c>
      <c r="N93" s="5" t="str">
        <f>IF(A93="","",LOOKUP(2,1/((Overview!$L$3:$L$62&lt;=ROW()-2)*(Overview!$M$3:$M$62&gt;=ROW()-2)),Overview!$V$3:$V$62))</f>
        <v>annotationSet 2</v>
      </c>
      <c r="O93" s="5" t="str">
        <f>IF(A93="","",LOOKUP(2,1/((Overview!$L$3:$L$62&lt;=ROW()-2)*(Overview!$M$3:$M$62&gt;=ROW()-2)),Overview!$B$3:$B$62))</f>
        <v>17.08.26</v>
      </c>
      <c r="P93" s="14">
        <f>IF(A93="","",LOOKUP(2,1/((Overview!$L$3:$L$62&lt;=ROW()-2)*(Overview!$M$3:$M$62&gt;=ROW()-2)),Overview!$S$3:$S$62))</f>
        <v>46251</v>
      </c>
      <c r="Q93" s="5" t="str">
        <f>IF(A93="","",LOOKUP(2,1/((Overview!$L$3:$L$62&lt;=ROW()-2)*(Overview!$M$3:$M$62&gt;=ROW()-2)),Overview!$C$3:$C$62))</f>
        <v>48h</v>
      </c>
      <c r="R93" s="22" t="str">
        <f>IF(E93="","",IF(AND(I93&lt;&gt;"",LOOKUP(2,1/((Overview!$L$3:$L$62&lt;=ROW()-2)*(Overview!$M$3:$M$62&gt;=ROW()-2)),Overview!$Z$3:$Z$62)&lt;&gt;""),LEFT(E93,LEN(E93)-LEN(I93))&amp;LOOKUP(2,1/((Overview!$L$3:$L$62&lt;=ROW()-2)*(Overview!$M$3:$M$62&gt;=ROW()-2)),Overview!$Z$3:$Z$62)&amp;" "&amp;I93,E93)&amp;IF(AND(Q93="",LOOKUP(2,1/((Overview!$L$3:$L$62&lt;=ROW()-2)*(Overview!$M$3:$M$62&gt;=ROW()-2)),Overview!$W$3:$W$62)=""),"",", "&amp;IF(Q93&lt;&gt;"",Q93,"")&amp;IF(AND(Q93&lt;&gt;"",LOOKUP(2,1/((Overview!$L$3:$L$62&lt;=ROW()-2)*(Overview!$M$3:$M$62&gt;=ROW()-2)),Overview!$W$3:$W$62)&lt;&gt;"")," ","")&amp;LOOKUP(2,1/((Overview!$L$3:$L$62&lt;=ROW()-2)*(Overview!$M$3:$M$62&gt;=ROW()-2)),Overview!$W$3:$W$62)))</f>
        <v>YPDA + heat, 2, 48h</v>
      </c>
      <c r="S93" t="str">
        <f t="shared" si="6"/>
        <v>Duplicate resolved by Set</v>
      </c>
      <c r="U93" s="10" t="str">
        <f>IF(A93="","",O93&amp;IF(LOOKUP(2,1/((Overview!$L$3:$L$62&lt;=ROW()-2)*(Overview!$M$3:$M$62&gt;=ROW()-2)),Overview!$T$3:$T$62)&lt;&gt;"","_"&amp;LOOKUP(2,1/((Overview!$L$3:$L$62&lt;=ROW()-2)*(Overview!$M$3:$M$62&gt;=ROW()-2)),Overview!$T$3:$T$62),"")&amp;IF(Q93&lt;&gt;"","_"&amp;Q93,"")&amp;IF(E93&lt;&gt;"","_"&amp;E93,"")&amp;LOOKUP(2,1/((Overview!$L$3:$L$62&lt;=ROW()-2)*(Overview!$M$3:$M$62&gt;=ROW()-2)),Overview!$X$3:$X$62))</f>
        <v>17.08.26_48h_YPDA + heat, 2.jpg</v>
      </c>
      <c r="V93">
        <f t="shared" si="7"/>
        <v>2</v>
      </c>
      <c r="W93" t="str">
        <f>IF(U93="","",O93&amp;IF(LOOKUP(2,1/((Overview!$L$3:$L$62&lt;=ROW()-2)*(Overview!$M$3:$M$62&gt;=ROW()-2)),Overview!$T$3:$T$62)&lt;&gt;"","_"&amp;LOOKUP(2,1/((Overview!$L$3:$L$62&lt;=ROW()-2)*(Overview!$M$3:$M$62&gt;=ROW()-2)),Overview!$T$3:$T$62),"")&amp;"_"&amp;IF(LEFT(LOWER(TRIM(F93)),3)="set",TRIM(F93),"Set"&amp;TRIM(F93))&amp;IF(Q93&lt;&gt;"","_"&amp;Q93,"")&amp;IF(E93&lt;&gt;"","_"&amp;E93,"")&amp;LOOKUP(2,1/((Overview!$L$3:$L$62&lt;=ROW()-2)*(Overview!$M$3:$M$62&gt;=ROW()-2)),Overview!$X$3:$X$62))</f>
        <v>17.08.26_SetB_48h_YPDA + heat, 2.jpg</v>
      </c>
      <c r="X93">
        <f t="shared" si="8"/>
        <v>1</v>
      </c>
    </row>
    <row r="94" spans="1:24" ht="13.9" thickBot="1">
      <c r="A94" s="5">
        <f>IF(ROW()-2&gt;SUMIFS(Overview!$K$3:$K$62,Overview!$N$3:$N$62,"OK"),"",LOOKUP(2,1/((Overview!$L$3:$L$62&lt;=ROW()-2)*(Overview!$M$3:$M$62&gt;=ROW()-2)),Overview!$R$3:$R$62))</f>
        <v>2</v>
      </c>
      <c r="B94" s="5" t="str">
        <f>IF(A94="","",LOOKUP(2,1/((Overview!$L$3:$L$62&lt;=ROW()-2)*(Overview!$M$3:$M$62&gt;=ROW()-2)),Overview!$O$3:$O$62))</f>
        <v>17.08.26_48h</v>
      </c>
      <c r="C94" s="5" t="str">
        <f>IF(A94="","",LOOKUP(2,1/((Overview!$L$3:$L$62&lt;=ROW()-2)*(Overview!$M$3:$M$62&gt;=ROW()-2)),Overview!$Y$3:$Y$62))</f>
        <v>E2_17.08.26_48h</v>
      </c>
      <c r="D94" s="45">
        <f>IF(A94="","",ROW()-2-LOOKUP(2,1/((Overview!$L$3:$L$62&lt;=ROW()-2)*(Overview!$M$3:$M$62&gt;=ROW()-2)),Overview!$L$3:$L$62)+1)</f>
        <v>19</v>
      </c>
      <c r="E94" s="30" t="str">
        <f>IF(A94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3</v>
      </c>
      <c r="F94" s="45" t="str">
        <f>IF(A94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4" s="113" t="str">
        <f>IF(A94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4" s="30" t="str">
        <f>IF(A94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94" s="30">
        <f>IF(A94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94" s="45" t="str">
        <f>IF(A94="","","image"&amp;D94&amp;LOOKUP(2,1/((Overview!$L$3:$L$62&lt;=ROW()-2)*(Overview!$M$3:$M$62&gt;=ROW()-2)),Overview!$X$3:$X$62))</f>
        <v>image19.jpg</v>
      </c>
      <c r="K94" s="113" t="str">
        <f t="shared" si="5"/>
        <v>E2_17.08.26_48h_I019</v>
      </c>
      <c r="L94" s="106" t="str">
        <f>IF(U94="","",IF(V94=1,U94,IF(X94=1,W94,LEFT(W94,LEN(W94)-LEN(LOOKUP(2,1/((Overview!$L$3:$L$62&lt;=ROW()-2)*(Overview!$M$3:$M$62&gt;=ROW()-2)),Overview!$X$3:$X$62)))&amp;IF(COUNTIF($W$3:W94,W94)=1,"","__"&amp;COUNTIF($W$3:W94,W94))&amp;LOOKUP(2,1/((Overview!$L$3:$L$62&lt;=ROW()-2)*(Overview!$M$3:$M$62&gt;=ROW()-2)),Overview!$X$3:$X$62))))</f>
        <v>17.08.26_SetB_48h_YPDA + heat, 3.jpg</v>
      </c>
      <c r="M94" s="5" t="str">
        <f>IF(A94="","",LOOKUP(2,1/((Overview!$L$3:$L$62&lt;=ROW()-2)*(Overview!$M$3:$M$62&gt;=ROW()-2)),Overview!$U$3:$U$62))</f>
        <v>Arrangement 2</v>
      </c>
      <c r="N94" s="5" t="str">
        <f>IF(A94="","",LOOKUP(2,1/((Overview!$L$3:$L$62&lt;=ROW()-2)*(Overview!$M$3:$M$62&gt;=ROW()-2)),Overview!$V$3:$V$62))</f>
        <v>annotationSet 2</v>
      </c>
      <c r="O94" s="5" t="str">
        <f>IF(A94="","",LOOKUP(2,1/((Overview!$L$3:$L$62&lt;=ROW()-2)*(Overview!$M$3:$M$62&gt;=ROW()-2)),Overview!$B$3:$B$62))</f>
        <v>17.08.26</v>
      </c>
      <c r="P94" s="14">
        <f>IF(A94="","",LOOKUP(2,1/((Overview!$L$3:$L$62&lt;=ROW()-2)*(Overview!$M$3:$M$62&gt;=ROW()-2)),Overview!$S$3:$S$62))</f>
        <v>46251</v>
      </c>
      <c r="Q94" s="5" t="str">
        <f>IF(A94="","",LOOKUP(2,1/((Overview!$L$3:$L$62&lt;=ROW()-2)*(Overview!$M$3:$M$62&gt;=ROW()-2)),Overview!$C$3:$C$62))</f>
        <v>48h</v>
      </c>
      <c r="R94" s="22" t="str">
        <f>IF(E94="","",IF(AND(I94&lt;&gt;"",LOOKUP(2,1/((Overview!$L$3:$L$62&lt;=ROW()-2)*(Overview!$M$3:$M$62&gt;=ROW()-2)),Overview!$Z$3:$Z$62)&lt;&gt;""),LEFT(E94,LEN(E94)-LEN(I94))&amp;LOOKUP(2,1/((Overview!$L$3:$L$62&lt;=ROW()-2)*(Overview!$M$3:$M$62&gt;=ROW()-2)),Overview!$Z$3:$Z$62)&amp;" "&amp;I94,E94)&amp;IF(AND(Q94="",LOOKUP(2,1/((Overview!$L$3:$L$62&lt;=ROW()-2)*(Overview!$M$3:$M$62&gt;=ROW()-2)),Overview!$W$3:$W$62)=""),"",", "&amp;IF(Q94&lt;&gt;"",Q94,"")&amp;IF(AND(Q94&lt;&gt;"",LOOKUP(2,1/((Overview!$L$3:$L$62&lt;=ROW()-2)*(Overview!$M$3:$M$62&gt;=ROW()-2)),Overview!$W$3:$W$62)&lt;&gt;"")," ","")&amp;LOOKUP(2,1/((Overview!$L$3:$L$62&lt;=ROW()-2)*(Overview!$M$3:$M$62&gt;=ROW()-2)),Overview!$W$3:$W$62)))</f>
        <v>YPDA + heat, 3, 48h</v>
      </c>
      <c r="S94" t="str">
        <f t="shared" si="6"/>
        <v>Duplicate resolved by Set</v>
      </c>
      <c r="U94" s="10" t="str">
        <f>IF(A94="","",O94&amp;IF(LOOKUP(2,1/((Overview!$L$3:$L$62&lt;=ROW()-2)*(Overview!$M$3:$M$62&gt;=ROW()-2)),Overview!$T$3:$T$62)&lt;&gt;"","_"&amp;LOOKUP(2,1/((Overview!$L$3:$L$62&lt;=ROW()-2)*(Overview!$M$3:$M$62&gt;=ROW()-2)),Overview!$T$3:$T$62),"")&amp;IF(Q94&lt;&gt;"","_"&amp;Q94,"")&amp;IF(E94&lt;&gt;"","_"&amp;E94,"")&amp;LOOKUP(2,1/((Overview!$L$3:$L$62&lt;=ROW()-2)*(Overview!$M$3:$M$62&gt;=ROW()-2)),Overview!$X$3:$X$62))</f>
        <v>17.08.26_48h_YPDA + heat, 3.jpg</v>
      </c>
      <c r="V94">
        <f t="shared" si="7"/>
        <v>2</v>
      </c>
      <c r="W94" t="str">
        <f>IF(U94="","",O94&amp;IF(LOOKUP(2,1/((Overview!$L$3:$L$62&lt;=ROW()-2)*(Overview!$M$3:$M$62&gt;=ROW()-2)),Overview!$T$3:$T$62)&lt;&gt;"","_"&amp;LOOKUP(2,1/((Overview!$L$3:$L$62&lt;=ROW()-2)*(Overview!$M$3:$M$62&gt;=ROW()-2)),Overview!$T$3:$T$62),"")&amp;"_"&amp;IF(LEFT(LOWER(TRIM(F94)),3)="set",TRIM(F94),"Set"&amp;TRIM(F94))&amp;IF(Q94&lt;&gt;"","_"&amp;Q94,"")&amp;IF(E94&lt;&gt;"","_"&amp;E94,"")&amp;LOOKUP(2,1/((Overview!$L$3:$L$62&lt;=ROW()-2)*(Overview!$M$3:$M$62&gt;=ROW()-2)),Overview!$X$3:$X$62))</f>
        <v>17.08.26_SetB_48h_YPDA + heat, 3.jpg</v>
      </c>
      <c r="X94">
        <f t="shared" si="8"/>
        <v>1</v>
      </c>
    </row>
    <row r="95" spans="1:24" ht="13.9" thickBot="1">
      <c r="A95" s="5">
        <f>IF(ROW()-2&gt;SUMIFS(Overview!$K$3:$K$62,Overview!$N$3:$N$62,"OK"),"",LOOKUP(2,1/((Overview!$L$3:$L$62&lt;=ROW()-2)*(Overview!$M$3:$M$62&gt;=ROW()-2)),Overview!$R$3:$R$62))</f>
        <v>2</v>
      </c>
      <c r="B95" s="5" t="str">
        <f>IF(A95="","",LOOKUP(2,1/((Overview!$L$3:$L$62&lt;=ROW()-2)*(Overview!$M$3:$M$62&gt;=ROW()-2)),Overview!$O$3:$O$62))</f>
        <v>17.08.26_48h</v>
      </c>
      <c r="C95" s="5" t="str">
        <f>IF(A95="","",LOOKUP(2,1/((Overview!$L$3:$L$62&lt;=ROW()-2)*(Overview!$M$3:$M$62&gt;=ROW()-2)),Overview!$Y$3:$Y$62))</f>
        <v>E2_17.08.26_48h</v>
      </c>
      <c r="D95" s="45">
        <f>IF(A95="","",ROW()-2-LOOKUP(2,1/((Overview!$L$3:$L$62&lt;=ROW()-2)*(Overview!$M$3:$M$62&gt;=ROW()-2)),Overview!$L$3:$L$62)+1)</f>
        <v>20</v>
      </c>
      <c r="E95" s="30" t="str">
        <f>IF(A95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heat, 4</v>
      </c>
      <c r="F95" s="45" t="str">
        <f>IF(A95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5" s="113" t="str">
        <f>IF(A95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5" s="30" t="str">
        <f>IF(A95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heat</v>
      </c>
      <c r="I95" s="30">
        <f>IF(A95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95" s="45" t="str">
        <f>IF(A95="","","image"&amp;D95&amp;LOOKUP(2,1/((Overview!$L$3:$L$62&lt;=ROW()-2)*(Overview!$M$3:$M$62&gt;=ROW()-2)),Overview!$X$3:$X$62))</f>
        <v>image20.jpg</v>
      </c>
      <c r="K95" s="113" t="str">
        <f t="shared" si="5"/>
        <v>E2_17.08.26_48h_I020</v>
      </c>
      <c r="L95" s="106" t="str">
        <f>IF(U95="","",IF(V95=1,U95,IF(X95=1,W95,LEFT(W95,LEN(W95)-LEN(LOOKUP(2,1/((Overview!$L$3:$L$62&lt;=ROW()-2)*(Overview!$M$3:$M$62&gt;=ROW()-2)),Overview!$X$3:$X$62)))&amp;IF(COUNTIF($W$3:W95,W95)=1,"","__"&amp;COUNTIF($W$3:W95,W95))&amp;LOOKUP(2,1/((Overview!$L$3:$L$62&lt;=ROW()-2)*(Overview!$M$3:$M$62&gt;=ROW()-2)),Overview!$X$3:$X$62))))</f>
        <v>17.08.26_SetB_48h_YPDA + heat, 4.jpg</v>
      </c>
      <c r="M95" s="5" t="str">
        <f>IF(A95="","",LOOKUP(2,1/((Overview!$L$3:$L$62&lt;=ROW()-2)*(Overview!$M$3:$M$62&gt;=ROW()-2)),Overview!$U$3:$U$62))</f>
        <v>Arrangement 2</v>
      </c>
      <c r="N95" s="5" t="str">
        <f>IF(A95="","",LOOKUP(2,1/((Overview!$L$3:$L$62&lt;=ROW()-2)*(Overview!$M$3:$M$62&gt;=ROW()-2)),Overview!$V$3:$V$62))</f>
        <v>annotationSet 2</v>
      </c>
      <c r="O95" s="5" t="str">
        <f>IF(A95="","",LOOKUP(2,1/((Overview!$L$3:$L$62&lt;=ROW()-2)*(Overview!$M$3:$M$62&gt;=ROW()-2)),Overview!$B$3:$B$62))</f>
        <v>17.08.26</v>
      </c>
      <c r="P95" s="14">
        <f>IF(A95="","",LOOKUP(2,1/((Overview!$L$3:$L$62&lt;=ROW()-2)*(Overview!$M$3:$M$62&gt;=ROW()-2)),Overview!$S$3:$S$62))</f>
        <v>46251</v>
      </c>
      <c r="Q95" s="5" t="str">
        <f>IF(A95="","",LOOKUP(2,1/((Overview!$L$3:$L$62&lt;=ROW()-2)*(Overview!$M$3:$M$62&gt;=ROW()-2)),Overview!$C$3:$C$62))</f>
        <v>48h</v>
      </c>
      <c r="R95" s="22" t="str">
        <f>IF(E95="","",IF(AND(I95&lt;&gt;"",LOOKUP(2,1/((Overview!$L$3:$L$62&lt;=ROW()-2)*(Overview!$M$3:$M$62&gt;=ROW()-2)),Overview!$Z$3:$Z$62)&lt;&gt;""),LEFT(E95,LEN(E95)-LEN(I95))&amp;LOOKUP(2,1/((Overview!$L$3:$L$62&lt;=ROW()-2)*(Overview!$M$3:$M$62&gt;=ROW()-2)),Overview!$Z$3:$Z$62)&amp;" "&amp;I95,E95)&amp;IF(AND(Q95="",LOOKUP(2,1/((Overview!$L$3:$L$62&lt;=ROW()-2)*(Overview!$M$3:$M$62&gt;=ROW()-2)),Overview!$W$3:$W$62)=""),"",", "&amp;IF(Q95&lt;&gt;"",Q95,"")&amp;IF(AND(Q95&lt;&gt;"",LOOKUP(2,1/((Overview!$L$3:$L$62&lt;=ROW()-2)*(Overview!$M$3:$M$62&gt;=ROW()-2)),Overview!$W$3:$W$62)&lt;&gt;"")," ","")&amp;LOOKUP(2,1/((Overview!$L$3:$L$62&lt;=ROW()-2)*(Overview!$M$3:$M$62&gt;=ROW()-2)),Overview!$W$3:$W$62)))</f>
        <v>YPDA + heat, 4, 48h</v>
      </c>
      <c r="S95" t="str">
        <f t="shared" si="6"/>
        <v>Duplicate resolved by Set</v>
      </c>
      <c r="U95" s="10" t="str">
        <f>IF(A95="","",O95&amp;IF(LOOKUP(2,1/((Overview!$L$3:$L$62&lt;=ROW()-2)*(Overview!$M$3:$M$62&gt;=ROW()-2)),Overview!$T$3:$T$62)&lt;&gt;"","_"&amp;LOOKUP(2,1/((Overview!$L$3:$L$62&lt;=ROW()-2)*(Overview!$M$3:$M$62&gt;=ROW()-2)),Overview!$T$3:$T$62),"")&amp;IF(Q95&lt;&gt;"","_"&amp;Q95,"")&amp;IF(E95&lt;&gt;"","_"&amp;E95,"")&amp;LOOKUP(2,1/((Overview!$L$3:$L$62&lt;=ROW()-2)*(Overview!$M$3:$M$62&gt;=ROW()-2)),Overview!$X$3:$X$62))</f>
        <v>17.08.26_48h_YPDA + heat, 4.jpg</v>
      </c>
      <c r="V95">
        <f t="shared" si="7"/>
        <v>2</v>
      </c>
      <c r="W95" t="str">
        <f>IF(U95="","",O95&amp;IF(LOOKUP(2,1/((Overview!$L$3:$L$62&lt;=ROW()-2)*(Overview!$M$3:$M$62&gt;=ROW()-2)),Overview!$T$3:$T$62)&lt;&gt;"","_"&amp;LOOKUP(2,1/((Overview!$L$3:$L$62&lt;=ROW()-2)*(Overview!$M$3:$M$62&gt;=ROW()-2)),Overview!$T$3:$T$62),"")&amp;"_"&amp;IF(LEFT(LOWER(TRIM(F95)),3)="set",TRIM(F95),"Set"&amp;TRIM(F95))&amp;IF(Q95&lt;&gt;"","_"&amp;Q95,"")&amp;IF(E95&lt;&gt;"","_"&amp;E95,"")&amp;LOOKUP(2,1/((Overview!$L$3:$L$62&lt;=ROW()-2)*(Overview!$M$3:$M$62&gt;=ROW()-2)),Overview!$X$3:$X$62))</f>
        <v>17.08.26_SetB_48h_YPDA + heat, 4.jpg</v>
      </c>
      <c r="X95">
        <f t="shared" si="8"/>
        <v>1</v>
      </c>
    </row>
    <row r="96" spans="1:24" ht="13.9" thickBot="1">
      <c r="A96" s="5">
        <f>IF(ROW()-2&gt;SUMIFS(Overview!$K$3:$K$62,Overview!$N$3:$N$62,"OK"),"",LOOKUP(2,1/((Overview!$L$3:$L$62&lt;=ROW()-2)*(Overview!$M$3:$M$62&gt;=ROW()-2)),Overview!$R$3:$R$62))</f>
        <v>2</v>
      </c>
      <c r="B96" s="5" t="str">
        <f>IF(A96="","",LOOKUP(2,1/((Overview!$L$3:$L$62&lt;=ROW()-2)*(Overview!$M$3:$M$62&gt;=ROW()-2)),Overview!$O$3:$O$62))</f>
        <v>17.08.26_48h</v>
      </c>
      <c r="C96" s="5" t="str">
        <f>IF(A96="","",LOOKUP(2,1/((Overview!$L$3:$L$62&lt;=ROW()-2)*(Overview!$M$3:$M$62&gt;=ROW()-2)),Overview!$Y$3:$Y$62))</f>
        <v>E2_17.08.26_48h</v>
      </c>
      <c r="D96" s="45">
        <f>IF(A96="","",ROW()-2-LOOKUP(2,1/((Overview!$L$3:$L$62&lt;=ROW()-2)*(Overview!$M$3:$M$62&gt;=ROW()-2)),Overview!$L$3:$L$62)+1)</f>
        <v>21</v>
      </c>
      <c r="E96" s="31" t="str">
        <f>IF(A96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1</v>
      </c>
      <c r="F96" s="45" t="str">
        <f>IF(A96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6" s="113" t="str">
        <f>IF(A96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6" s="31" t="str">
        <f>IF(A96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96" s="31">
        <f>IF(A96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1</v>
      </c>
      <c r="J96" s="45" t="str">
        <f>IF(A96="","","image"&amp;D96&amp;LOOKUP(2,1/((Overview!$L$3:$L$62&lt;=ROW()-2)*(Overview!$M$3:$M$62&gt;=ROW()-2)),Overview!$X$3:$X$62))</f>
        <v>image21.jpg</v>
      </c>
      <c r="K96" s="113" t="str">
        <f t="shared" si="5"/>
        <v>E2_17.08.26_48h_I021</v>
      </c>
      <c r="L96" s="106" t="str">
        <f>IF(U96="","",IF(V96=1,U96,IF(X96=1,W96,LEFT(W96,LEN(W96)-LEN(LOOKUP(2,1/((Overview!$L$3:$L$62&lt;=ROW()-2)*(Overview!$M$3:$M$62&gt;=ROW()-2)),Overview!$X$3:$X$62)))&amp;IF(COUNTIF($W$3:W96,W96)=1,"","__"&amp;COUNTIF($W$3:W96,W96))&amp;LOOKUP(2,1/((Overview!$L$3:$L$62&lt;=ROW()-2)*(Overview!$M$3:$M$62&gt;=ROW()-2)),Overview!$X$3:$X$62))))</f>
        <v>17.08.26_SetB_48h_YPDA + salt, 1.jpg</v>
      </c>
      <c r="M96" s="5" t="str">
        <f>IF(A96="","",LOOKUP(2,1/((Overview!$L$3:$L$62&lt;=ROW()-2)*(Overview!$M$3:$M$62&gt;=ROW()-2)),Overview!$U$3:$U$62))</f>
        <v>Arrangement 2</v>
      </c>
      <c r="N96" s="5" t="str">
        <f>IF(A96="","",LOOKUP(2,1/((Overview!$L$3:$L$62&lt;=ROW()-2)*(Overview!$M$3:$M$62&gt;=ROW()-2)),Overview!$V$3:$V$62))</f>
        <v>annotationSet 2</v>
      </c>
      <c r="O96" s="5" t="str">
        <f>IF(A96="","",LOOKUP(2,1/((Overview!$L$3:$L$62&lt;=ROW()-2)*(Overview!$M$3:$M$62&gt;=ROW()-2)),Overview!$B$3:$B$62))</f>
        <v>17.08.26</v>
      </c>
      <c r="P96" s="14">
        <f>IF(A96="","",LOOKUP(2,1/((Overview!$L$3:$L$62&lt;=ROW()-2)*(Overview!$M$3:$M$62&gt;=ROW()-2)),Overview!$S$3:$S$62))</f>
        <v>46251</v>
      </c>
      <c r="Q96" s="5" t="str">
        <f>IF(A96="","",LOOKUP(2,1/((Overview!$L$3:$L$62&lt;=ROW()-2)*(Overview!$M$3:$M$62&gt;=ROW()-2)),Overview!$C$3:$C$62))</f>
        <v>48h</v>
      </c>
      <c r="R96" s="22" t="str">
        <f>IF(E96="","",IF(AND(I96&lt;&gt;"",LOOKUP(2,1/((Overview!$L$3:$L$62&lt;=ROW()-2)*(Overview!$M$3:$M$62&gt;=ROW()-2)),Overview!$Z$3:$Z$62)&lt;&gt;""),LEFT(E96,LEN(E96)-LEN(I96))&amp;LOOKUP(2,1/((Overview!$L$3:$L$62&lt;=ROW()-2)*(Overview!$M$3:$M$62&gt;=ROW()-2)),Overview!$Z$3:$Z$62)&amp;" "&amp;I96,E96)&amp;IF(AND(Q96="",LOOKUP(2,1/((Overview!$L$3:$L$62&lt;=ROW()-2)*(Overview!$M$3:$M$62&gt;=ROW()-2)),Overview!$W$3:$W$62)=""),"",", "&amp;IF(Q96&lt;&gt;"",Q96,"")&amp;IF(AND(Q96&lt;&gt;"",LOOKUP(2,1/((Overview!$L$3:$L$62&lt;=ROW()-2)*(Overview!$M$3:$M$62&gt;=ROW()-2)),Overview!$W$3:$W$62)&lt;&gt;"")," ","")&amp;LOOKUP(2,1/((Overview!$L$3:$L$62&lt;=ROW()-2)*(Overview!$M$3:$M$62&gt;=ROW()-2)),Overview!$W$3:$W$62)))</f>
        <v>YPDA + salt, 1, 48h</v>
      </c>
      <c r="S96" t="str">
        <f t="shared" si="6"/>
        <v>Duplicate resolved by Set</v>
      </c>
      <c r="U96" s="10" t="str">
        <f>IF(A96="","",O96&amp;IF(LOOKUP(2,1/((Overview!$L$3:$L$62&lt;=ROW()-2)*(Overview!$M$3:$M$62&gt;=ROW()-2)),Overview!$T$3:$T$62)&lt;&gt;"","_"&amp;LOOKUP(2,1/((Overview!$L$3:$L$62&lt;=ROW()-2)*(Overview!$M$3:$M$62&gt;=ROW()-2)),Overview!$T$3:$T$62),"")&amp;IF(Q96&lt;&gt;"","_"&amp;Q96,"")&amp;IF(E96&lt;&gt;"","_"&amp;E96,"")&amp;LOOKUP(2,1/((Overview!$L$3:$L$62&lt;=ROW()-2)*(Overview!$M$3:$M$62&gt;=ROW()-2)),Overview!$X$3:$X$62))</f>
        <v>17.08.26_48h_YPDA + salt, 1.jpg</v>
      </c>
      <c r="V96">
        <f t="shared" si="7"/>
        <v>2</v>
      </c>
      <c r="W96" t="str">
        <f>IF(U96="","",O96&amp;IF(LOOKUP(2,1/((Overview!$L$3:$L$62&lt;=ROW()-2)*(Overview!$M$3:$M$62&gt;=ROW()-2)),Overview!$T$3:$T$62)&lt;&gt;"","_"&amp;LOOKUP(2,1/((Overview!$L$3:$L$62&lt;=ROW()-2)*(Overview!$M$3:$M$62&gt;=ROW()-2)),Overview!$T$3:$T$62),"")&amp;"_"&amp;IF(LEFT(LOWER(TRIM(F96)),3)="set",TRIM(F96),"Set"&amp;TRIM(F96))&amp;IF(Q96&lt;&gt;"","_"&amp;Q96,"")&amp;IF(E96&lt;&gt;"","_"&amp;E96,"")&amp;LOOKUP(2,1/((Overview!$L$3:$L$62&lt;=ROW()-2)*(Overview!$M$3:$M$62&gt;=ROW()-2)),Overview!$X$3:$X$62))</f>
        <v>17.08.26_SetB_48h_YPDA + salt, 1.jpg</v>
      </c>
      <c r="X96">
        <f t="shared" si="8"/>
        <v>1</v>
      </c>
    </row>
    <row r="97" spans="1:24" ht="13.9" thickBot="1">
      <c r="A97" s="5">
        <f>IF(ROW()-2&gt;SUMIFS(Overview!$K$3:$K$62,Overview!$N$3:$N$62,"OK"),"",LOOKUP(2,1/((Overview!$L$3:$L$62&lt;=ROW()-2)*(Overview!$M$3:$M$62&gt;=ROW()-2)),Overview!$R$3:$R$62))</f>
        <v>2</v>
      </c>
      <c r="B97" s="5" t="str">
        <f>IF(A97="","",LOOKUP(2,1/((Overview!$L$3:$L$62&lt;=ROW()-2)*(Overview!$M$3:$M$62&gt;=ROW()-2)),Overview!$O$3:$O$62))</f>
        <v>17.08.26_48h</v>
      </c>
      <c r="C97" s="5" t="str">
        <f>IF(A97="","",LOOKUP(2,1/((Overview!$L$3:$L$62&lt;=ROW()-2)*(Overview!$M$3:$M$62&gt;=ROW()-2)),Overview!$Y$3:$Y$62))</f>
        <v>E2_17.08.26_48h</v>
      </c>
      <c r="D97" s="45">
        <f>IF(A97="","",ROW()-2-LOOKUP(2,1/((Overview!$L$3:$L$62&lt;=ROW()-2)*(Overview!$M$3:$M$62&gt;=ROW()-2)),Overview!$L$3:$L$62)+1)</f>
        <v>22</v>
      </c>
      <c r="E97" s="31" t="str">
        <f>IF(A97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2</v>
      </c>
      <c r="F97" s="45" t="str">
        <f>IF(A97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7" s="113" t="str">
        <f>IF(A97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7" s="31" t="str">
        <f>IF(A97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97" s="31">
        <f>IF(A97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2</v>
      </c>
      <c r="J97" s="45" t="str">
        <f>IF(A97="","","image"&amp;D97&amp;LOOKUP(2,1/((Overview!$L$3:$L$62&lt;=ROW()-2)*(Overview!$M$3:$M$62&gt;=ROW()-2)),Overview!$X$3:$X$62))</f>
        <v>image22.jpg</v>
      </c>
      <c r="K97" s="113" t="str">
        <f t="shared" si="5"/>
        <v>E2_17.08.26_48h_I022</v>
      </c>
      <c r="L97" s="106" t="str">
        <f>IF(U97="","",IF(V97=1,U97,IF(X97=1,W97,LEFT(W97,LEN(W97)-LEN(LOOKUP(2,1/((Overview!$L$3:$L$62&lt;=ROW()-2)*(Overview!$M$3:$M$62&gt;=ROW()-2)),Overview!$X$3:$X$62)))&amp;IF(COUNTIF($W$3:W97,W97)=1,"","__"&amp;COUNTIF($W$3:W97,W97))&amp;LOOKUP(2,1/((Overview!$L$3:$L$62&lt;=ROW()-2)*(Overview!$M$3:$M$62&gt;=ROW()-2)),Overview!$X$3:$X$62))))</f>
        <v>17.08.26_SetB_48h_YPDA + salt, 2.jpg</v>
      </c>
      <c r="M97" s="5" t="str">
        <f>IF(A97="","",LOOKUP(2,1/((Overview!$L$3:$L$62&lt;=ROW()-2)*(Overview!$M$3:$M$62&gt;=ROW()-2)),Overview!$U$3:$U$62))</f>
        <v>Arrangement 2</v>
      </c>
      <c r="N97" s="5" t="str">
        <f>IF(A97="","",LOOKUP(2,1/((Overview!$L$3:$L$62&lt;=ROW()-2)*(Overview!$M$3:$M$62&gt;=ROW()-2)),Overview!$V$3:$V$62))</f>
        <v>annotationSet 2</v>
      </c>
      <c r="O97" s="5" t="str">
        <f>IF(A97="","",LOOKUP(2,1/((Overview!$L$3:$L$62&lt;=ROW()-2)*(Overview!$M$3:$M$62&gt;=ROW()-2)),Overview!$B$3:$B$62))</f>
        <v>17.08.26</v>
      </c>
      <c r="P97" s="14">
        <f>IF(A97="","",LOOKUP(2,1/((Overview!$L$3:$L$62&lt;=ROW()-2)*(Overview!$M$3:$M$62&gt;=ROW()-2)),Overview!$S$3:$S$62))</f>
        <v>46251</v>
      </c>
      <c r="Q97" s="5" t="str">
        <f>IF(A97="","",LOOKUP(2,1/((Overview!$L$3:$L$62&lt;=ROW()-2)*(Overview!$M$3:$M$62&gt;=ROW()-2)),Overview!$C$3:$C$62))</f>
        <v>48h</v>
      </c>
      <c r="R97" s="22" t="str">
        <f>IF(E97="","",IF(AND(I97&lt;&gt;"",LOOKUP(2,1/((Overview!$L$3:$L$62&lt;=ROW()-2)*(Overview!$M$3:$M$62&gt;=ROW()-2)),Overview!$Z$3:$Z$62)&lt;&gt;""),LEFT(E97,LEN(E97)-LEN(I97))&amp;LOOKUP(2,1/((Overview!$L$3:$L$62&lt;=ROW()-2)*(Overview!$M$3:$M$62&gt;=ROW()-2)),Overview!$Z$3:$Z$62)&amp;" "&amp;I97,E97)&amp;IF(AND(Q97="",LOOKUP(2,1/((Overview!$L$3:$L$62&lt;=ROW()-2)*(Overview!$M$3:$M$62&gt;=ROW()-2)),Overview!$W$3:$W$62)=""),"",", "&amp;IF(Q97&lt;&gt;"",Q97,"")&amp;IF(AND(Q97&lt;&gt;"",LOOKUP(2,1/((Overview!$L$3:$L$62&lt;=ROW()-2)*(Overview!$M$3:$M$62&gt;=ROW()-2)),Overview!$W$3:$W$62)&lt;&gt;"")," ","")&amp;LOOKUP(2,1/((Overview!$L$3:$L$62&lt;=ROW()-2)*(Overview!$M$3:$M$62&gt;=ROW()-2)),Overview!$W$3:$W$62)))</f>
        <v>YPDA + salt, 2, 48h</v>
      </c>
      <c r="S97" t="str">
        <f t="shared" si="6"/>
        <v>Duplicate resolved by Set</v>
      </c>
      <c r="U97" s="10" t="str">
        <f>IF(A97="","",O97&amp;IF(LOOKUP(2,1/((Overview!$L$3:$L$62&lt;=ROW()-2)*(Overview!$M$3:$M$62&gt;=ROW()-2)),Overview!$T$3:$T$62)&lt;&gt;"","_"&amp;LOOKUP(2,1/((Overview!$L$3:$L$62&lt;=ROW()-2)*(Overview!$M$3:$M$62&gt;=ROW()-2)),Overview!$T$3:$T$62),"")&amp;IF(Q97&lt;&gt;"","_"&amp;Q97,"")&amp;IF(E97&lt;&gt;"","_"&amp;E97,"")&amp;LOOKUP(2,1/((Overview!$L$3:$L$62&lt;=ROW()-2)*(Overview!$M$3:$M$62&gt;=ROW()-2)),Overview!$X$3:$X$62))</f>
        <v>17.08.26_48h_YPDA + salt, 2.jpg</v>
      </c>
      <c r="V97">
        <f t="shared" si="7"/>
        <v>2</v>
      </c>
      <c r="W97" t="str">
        <f>IF(U97="","",O97&amp;IF(LOOKUP(2,1/((Overview!$L$3:$L$62&lt;=ROW()-2)*(Overview!$M$3:$M$62&gt;=ROW()-2)),Overview!$T$3:$T$62)&lt;&gt;"","_"&amp;LOOKUP(2,1/((Overview!$L$3:$L$62&lt;=ROW()-2)*(Overview!$M$3:$M$62&gt;=ROW()-2)),Overview!$T$3:$T$62),"")&amp;"_"&amp;IF(LEFT(LOWER(TRIM(F97)),3)="set",TRIM(F97),"Set"&amp;TRIM(F97))&amp;IF(Q97&lt;&gt;"","_"&amp;Q97,"")&amp;IF(E97&lt;&gt;"","_"&amp;E97,"")&amp;LOOKUP(2,1/((Overview!$L$3:$L$62&lt;=ROW()-2)*(Overview!$M$3:$M$62&gt;=ROW()-2)),Overview!$X$3:$X$62))</f>
        <v>17.08.26_SetB_48h_YPDA + salt, 2.jpg</v>
      </c>
      <c r="X97">
        <f t="shared" si="8"/>
        <v>1</v>
      </c>
    </row>
    <row r="98" spans="1:24" ht="13.9" thickBot="1">
      <c r="A98" s="5">
        <f>IF(ROW()-2&gt;SUMIFS(Overview!$K$3:$K$62,Overview!$N$3:$N$62,"OK"),"",LOOKUP(2,1/((Overview!$L$3:$L$62&lt;=ROW()-2)*(Overview!$M$3:$M$62&gt;=ROW()-2)),Overview!$R$3:$R$62))</f>
        <v>2</v>
      </c>
      <c r="B98" s="5" t="str">
        <f>IF(A98="","",LOOKUP(2,1/((Overview!$L$3:$L$62&lt;=ROW()-2)*(Overview!$M$3:$M$62&gt;=ROW()-2)),Overview!$O$3:$O$62))</f>
        <v>17.08.26_48h</v>
      </c>
      <c r="C98" s="5" t="str">
        <f>IF(A98="","",LOOKUP(2,1/((Overview!$L$3:$L$62&lt;=ROW()-2)*(Overview!$M$3:$M$62&gt;=ROW()-2)),Overview!$Y$3:$Y$62))</f>
        <v>E2_17.08.26_48h</v>
      </c>
      <c r="D98" s="45">
        <f>IF(A98="","",ROW()-2-LOOKUP(2,1/((Overview!$L$3:$L$62&lt;=ROW()-2)*(Overview!$M$3:$M$62&gt;=ROW()-2)),Overview!$L$3:$L$62)+1)</f>
        <v>23</v>
      </c>
      <c r="E98" s="31" t="str">
        <f>IF(A98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3</v>
      </c>
      <c r="F98" s="45" t="str">
        <f>IF(A98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8" s="113" t="str">
        <f>IF(A98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8" s="31" t="str">
        <f>IF(A98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98" s="31">
        <f>IF(A98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3</v>
      </c>
      <c r="J98" s="45" t="str">
        <f>IF(A98="","","image"&amp;D98&amp;LOOKUP(2,1/((Overview!$L$3:$L$62&lt;=ROW()-2)*(Overview!$M$3:$M$62&gt;=ROW()-2)),Overview!$X$3:$X$62))</f>
        <v>image23.jpg</v>
      </c>
      <c r="K98" s="113" t="str">
        <f t="shared" si="5"/>
        <v>E2_17.08.26_48h_I023</v>
      </c>
      <c r="L98" s="106" t="str">
        <f>IF(U98="","",IF(V98=1,U98,IF(X98=1,W98,LEFT(W98,LEN(W98)-LEN(LOOKUP(2,1/((Overview!$L$3:$L$62&lt;=ROW()-2)*(Overview!$M$3:$M$62&gt;=ROW()-2)),Overview!$X$3:$X$62)))&amp;IF(COUNTIF($W$3:W98,W98)=1,"","__"&amp;COUNTIF($W$3:W98,W98))&amp;LOOKUP(2,1/((Overview!$L$3:$L$62&lt;=ROW()-2)*(Overview!$M$3:$M$62&gt;=ROW()-2)),Overview!$X$3:$X$62))))</f>
        <v>17.08.26_SetB_48h_YPDA + salt, 3.jpg</v>
      </c>
      <c r="M98" s="5" t="str">
        <f>IF(A98="","",LOOKUP(2,1/((Overview!$L$3:$L$62&lt;=ROW()-2)*(Overview!$M$3:$M$62&gt;=ROW()-2)),Overview!$U$3:$U$62))</f>
        <v>Arrangement 2</v>
      </c>
      <c r="N98" s="5" t="str">
        <f>IF(A98="","",LOOKUP(2,1/((Overview!$L$3:$L$62&lt;=ROW()-2)*(Overview!$M$3:$M$62&gt;=ROW()-2)),Overview!$V$3:$V$62))</f>
        <v>annotationSet 2</v>
      </c>
      <c r="O98" s="5" t="str">
        <f>IF(A98="","",LOOKUP(2,1/((Overview!$L$3:$L$62&lt;=ROW()-2)*(Overview!$M$3:$M$62&gt;=ROW()-2)),Overview!$B$3:$B$62))</f>
        <v>17.08.26</v>
      </c>
      <c r="P98" s="14">
        <f>IF(A98="","",LOOKUP(2,1/((Overview!$L$3:$L$62&lt;=ROW()-2)*(Overview!$M$3:$M$62&gt;=ROW()-2)),Overview!$S$3:$S$62))</f>
        <v>46251</v>
      </c>
      <c r="Q98" s="5" t="str">
        <f>IF(A98="","",LOOKUP(2,1/((Overview!$L$3:$L$62&lt;=ROW()-2)*(Overview!$M$3:$M$62&gt;=ROW()-2)),Overview!$C$3:$C$62))</f>
        <v>48h</v>
      </c>
      <c r="R98" s="22" t="str">
        <f>IF(E98="","",IF(AND(I98&lt;&gt;"",LOOKUP(2,1/((Overview!$L$3:$L$62&lt;=ROW()-2)*(Overview!$M$3:$M$62&gt;=ROW()-2)),Overview!$Z$3:$Z$62)&lt;&gt;""),LEFT(E98,LEN(E98)-LEN(I98))&amp;LOOKUP(2,1/((Overview!$L$3:$L$62&lt;=ROW()-2)*(Overview!$M$3:$M$62&gt;=ROW()-2)),Overview!$Z$3:$Z$62)&amp;" "&amp;I98,E98)&amp;IF(AND(Q98="",LOOKUP(2,1/((Overview!$L$3:$L$62&lt;=ROW()-2)*(Overview!$M$3:$M$62&gt;=ROW()-2)),Overview!$W$3:$W$62)=""),"",", "&amp;IF(Q98&lt;&gt;"",Q98,"")&amp;IF(AND(Q98&lt;&gt;"",LOOKUP(2,1/((Overview!$L$3:$L$62&lt;=ROW()-2)*(Overview!$M$3:$M$62&gt;=ROW()-2)),Overview!$W$3:$W$62)&lt;&gt;"")," ","")&amp;LOOKUP(2,1/((Overview!$L$3:$L$62&lt;=ROW()-2)*(Overview!$M$3:$M$62&gt;=ROW()-2)),Overview!$W$3:$W$62)))</f>
        <v>YPDA + salt, 3, 48h</v>
      </c>
      <c r="S98" t="str">
        <f t="shared" si="6"/>
        <v>Duplicate resolved by Set</v>
      </c>
      <c r="U98" s="10" t="str">
        <f>IF(A98="","",O98&amp;IF(LOOKUP(2,1/((Overview!$L$3:$L$62&lt;=ROW()-2)*(Overview!$M$3:$M$62&gt;=ROW()-2)),Overview!$T$3:$T$62)&lt;&gt;"","_"&amp;LOOKUP(2,1/((Overview!$L$3:$L$62&lt;=ROW()-2)*(Overview!$M$3:$M$62&gt;=ROW()-2)),Overview!$T$3:$T$62),"")&amp;IF(Q98&lt;&gt;"","_"&amp;Q98,"")&amp;IF(E98&lt;&gt;"","_"&amp;E98,"")&amp;LOOKUP(2,1/((Overview!$L$3:$L$62&lt;=ROW()-2)*(Overview!$M$3:$M$62&gt;=ROW()-2)),Overview!$X$3:$X$62))</f>
        <v>17.08.26_48h_YPDA + salt, 3.jpg</v>
      </c>
      <c r="V98">
        <f t="shared" si="7"/>
        <v>2</v>
      </c>
      <c r="W98" t="str">
        <f>IF(U98="","",O98&amp;IF(LOOKUP(2,1/((Overview!$L$3:$L$62&lt;=ROW()-2)*(Overview!$M$3:$M$62&gt;=ROW()-2)),Overview!$T$3:$T$62)&lt;&gt;"","_"&amp;LOOKUP(2,1/((Overview!$L$3:$L$62&lt;=ROW()-2)*(Overview!$M$3:$M$62&gt;=ROW()-2)),Overview!$T$3:$T$62),"")&amp;"_"&amp;IF(LEFT(LOWER(TRIM(F98)),3)="set",TRIM(F98),"Set"&amp;TRIM(F98))&amp;IF(Q98&lt;&gt;"","_"&amp;Q98,"")&amp;IF(E98&lt;&gt;"","_"&amp;E98,"")&amp;LOOKUP(2,1/((Overview!$L$3:$L$62&lt;=ROW()-2)*(Overview!$M$3:$M$62&gt;=ROW()-2)),Overview!$X$3:$X$62))</f>
        <v>17.08.26_SetB_48h_YPDA + salt, 3.jpg</v>
      </c>
      <c r="X98">
        <f t="shared" si="8"/>
        <v>1</v>
      </c>
    </row>
    <row r="99" spans="1:24" ht="13.9" thickBot="1">
      <c r="A99" s="5">
        <f>IF(ROW()-2&gt;SUMIFS(Overview!$K$3:$K$62,Overview!$N$3:$N$62,"OK"),"",LOOKUP(2,1/((Overview!$L$3:$L$62&lt;=ROW()-2)*(Overview!$M$3:$M$62&gt;=ROW()-2)),Overview!$R$3:$R$62))</f>
        <v>2</v>
      </c>
      <c r="B99" s="5" t="str">
        <f>IF(A99="","",LOOKUP(2,1/((Overview!$L$3:$L$62&lt;=ROW()-2)*(Overview!$M$3:$M$62&gt;=ROW()-2)),Overview!$O$3:$O$62))</f>
        <v>17.08.26_48h</v>
      </c>
      <c r="C99" s="5" t="str">
        <f>IF(A99="","",LOOKUP(2,1/((Overview!$L$3:$L$62&lt;=ROW()-2)*(Overview!$M$3:$M$62&gt;=ROW()-2)),Overview!$Y$3:$Y$62))</f>
        <v>E2_17.08.26_48h</v>
      </c>
      <c r="D99" s="45">
        <f>IF(A99="","",ROW()-2-LOOKUP(2,1/((Overview!$L$3:$L$62&lt;=ROW()-2)*(Overview!$M$3:$M$62&gt;=ROW()-2)),Overview!$L$3:$L$62)+1)</f>
        <v>24</v>
      </c>
      <c r="E99" s="31" t="str">
        <f>IF(A99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YPDA + salt, 4</v>
      </c>
      <c r="F99" s="45" t="str">
        <f>IF(A99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B</v>
      </c>
      <c r="G99" s="113" t="str">
        <f>IF(A99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>YPDA</v>
      </c>
      <c r="H99" s="31" t="str">
        <f>IF(A99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salt</v>
      </c>
      <c r="I99" s="31">
        <f>IF(A99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>4</v>
      </c>
      <c r="J99" s="45" t="str">
        <f>IF(A99="","","image"&amp;D99&amp;LOOKUP(2,1/((Overview!$L$3:$L$62&lt;=ROW()-2)*(Overview!$M$3:$M$62&gt;=ROW()-2)),Overview!$X$3:$X$62))</f>
        <v>image24.jpg</v>
      </c>
      <c r="K99" s="113" t="str">
        <f t="shared" ref="K99:K130" si="9">IF(A99="","",C99&amp;"_I"&amp;TEXT(D99,"000"))</f>
        <v>E2_17.08.26_48h_I024</v>
      </c>
      <c r="L99" s="106" t="str">
        <f>IF(U99="","",IF(V99=1,U99,IF(X99=1,W99,LEFT(W99,LEN(W99)-LEN(LOOKUP(2,1/((Overview!$L$3:$L$62&lt;=ROW()-2)*(Overview!$M$3:$M$62&gt;=ROW()-2)),Overview!$X$3:$X$62)))&amp;IF(COUNTIF($W$3:W99,W99)=1,"","__"&amp;COUNTIF($W$3:W99,W99))&amp;LOOKUP(2,1/((Overview!$L$3:$L$62&lt;=ROW()-2)*(Overview!$M$3:$M$62&gt;=ROW()-2)),Overview!$X$3:$X$62))))</f>
        <v>17.08.26_SetB_48h_YPDA + salt, 4.jpg</v>
      </c>
      <c r="M99" s="5" t="str">
        <f>IF(A99="","",LOOKUP(2,1/((Overview!$L$3:$L$62&lt;=ROW()-2)*(Overview!$M$3:$M$62&gt;=ROW()-2)),Overview!$U$3:$U$62))</f>
        <v>Arrangement 2</v>
      </c>
      <c r="N99" s="5" t="str">
        <f>IF(A99="","",LOOKUP(2,1/((Overview!$L$3:$L$62&lt;=ROW()-2)*(Overview!$M$3:$M$62&gt;=ROW()-2)),Overview!$V$3:$V$62))</f>
        <v>annotationSet 2</v>
      </c>
      <c r="O99" s="5" t="str">
        <f>IF(A99="","",LOOKUP(2,1/((Overview!$L$3:$L$62&lt;=ROW()-2)*(Overview!$M$3:$M$62&gt;=ROW()-2)),Overview!$B$3:$B$62))</f>
        <v>17.08.26</v>
      </c>
      <c r="P99" s="14">
        <f>IF(A99="","",LOOKUP(2,1/((Overview!$L$3:$L$62&lt;=ROW()-2)*(Overview!$M$3:$M$62&gt;=ROW()-2)),Overview!$S$3:$S$62))</f>
        <v>46251</v>
      </c>
      <c r="Q99" s="5" t="str">
        <f>IF(A99="","",LOOKUP(2,1/((Overview!$L$3:$L$62&lt;=ROW()-2)*(Overview!$M$3:$M$62&gt;=ROW()-2)),Overview!$C$3:$C$62))</f>
        <v>48h</v>
      </c>
      <c r="R99" s="22" t="str">
        <f>IF(E99="","",IF(AND(I99&lt;&gt;"",LOOKUP(2,1/((Overview!$L$3:$L$62&lt;=ROW()-2)*(Overview!$M$3:$M$62&gt;=ROW()-2)),Overview!$Z$3:$Z$62)&lt;&gt;""),LEFT(E99,LEN(E99)-LEN(I99))&amp;LOOKUP(2,1/((Overview!$L$3:$L$62&lt;=ROW()-2)*(Overview!$M$3:$M$62&gt;=ROW()-2)),Overview!$Z$3:$Z$62)&amp;" "&amp;I99,E99)&amp;IF(AND(Q99="",LOOKUP(2,1/((Overview!$L$3:$L$62&lt;=ROW()-2)*(Overview!$M$3:$M$62&gt;=ROW()-2)),Overview!$W$3:$W$62)=""),"",", "&amp;IF(Q99&lt;&gt;"",Q99,"")&amp;IF(AND(Q99&lt;&gt;"",LOOKUP(2,1/((Overview!$L$3:$L$62&lt;=ROW()-2)*(Overview!$M$3:$M$62&gt;=ROW()-2)),Overview!$W$3:$W$62)&lt;&gt;"")," ","")&amp;LOOKUP(2,1/((Overview!$L$3:$L$62&lt;=ROW()-2)*(Overview!$M$3:$M$62&gt;=ROW()-2)),Overview!$W$3:$W$62)))</f>
        <v>YPDA + salt, 4, 48h</v>
      </c>
      <c r="S99" t="str">
        <f t="shared" si="6"/>
        <v>Duplicate resolved by Set</v>
      </c>
      <c r="U99" s="10" t="str">
        <f>IF(A99="","",O99&amp;IF(LOOKUP(2,1/((Overview!$L$3:$L$62&lt;=ROW()-2)*(Overview!$M$3:$M$62&gt;=ROW()-2)),Overview!$T$3:$T$62)&lt;&gt;"","_"&amp;LOOKUP(2,1/((Overview!$L$3:$L$62&lt;=ROW()-2)*(Overview!$M$3:$M$62&gt;=ROW()-2)),Overview!$T$3:$T$62),"")&amp;IF(Q99&lt;&gt;"","_"&amp;Q99,"")&amp;IF(E99&lt;&gt;"","_"&amp;E99,"")&amp;LOOKUP(2,1/((Overview!$L$3:$L$62&lt;=ROW()-2)*(Overview!$M$3:$M$62&gt;=ROW()-2)),Overview!$X$3:$X$62))</f>
        <v>17.08.26_48h_YPDA + salt, 4.jpg</v>
      </c>
      <c r="V99">
        <f t="shared" si="7"/>
        <v>2</v>
      </c>
      <c r="W99" t="str">
        <f>IF(U99="","",O99&amp;IF(LOOKUP(2,1/((Overview!$L$3:$L$62&lt;=ROW()-2)*(Overview!$M$3:$M$62&gt;=ROW()-2)),Overview!$T$3:$T$62)&lt;&gt;"","_"&amp;LOOKUP(2,1/((Overview!$L$3:$L$62&lt;=ROW()-2)*(Overview!$M$3:$M$62&gt;=ROW()-2)),Overview!$T$3:$T$62),"")&amp;"_"&amp;IF(LEFT(LOWER(TRIM(F99)),3)="set",TRIM(F99),"Set"&amp;TRIM(F99))&amp;IF(Q99&lt;&gt;"","_"&amp;Q99,"")&amp;IF(E99&lt;&gt;"","_"&amp;E99,"")&amp;LOOKUP(2,1/((Overview!$L$3:$L$62&lt;=ROW()-2)*(Overview!$M$3:$M$62&gt;=ROW()-2)),Overview!$X$3:$X$62))</f>
        <v>17.08.26_SetB_48h_YPDA + salt, 4.jpg</v>
      </c>
      <c r="X99">
        <f t="shared" si="8"/>
        <v>1</v>
      </c>
    </row>
    <row r="100" spans="1:24" ht="13.9" thickBot="1">
      <c r="A100" s="5">
        <f>IF(ROW()-2&gt;SUMIFS(Overview!$K$3:$K$62,Overview!$N$3:$N$62,"OK"),"",LOOKUP(2,1/((Overview!$L$3:$L$62&lt;=ROW()-2)*(Overview!$M$3:$M$62&gt;=ROW()-2)),Overview!$R$3:$R$62))</f>
        <v>2</v>
      </c>
      <c r="B100" s="5" t="str">
        <f>IF(A100="","",LOOKUP(2,1/((Overview!$L$3:$L$62&lt;=ROW()-2)*(Overview!$M$3:$M$62&gt;=ROW()-2)),Overview!$O$3:$O$62))</f>
        <v>17.08.26_48h</v>
      </c>
      <c r="C100" s="5" t="str">
        <f>IF(A100="","",LOOKUP(2,1/((Overview!$L$3:$L$62&lt;=ROW()-2)*(Overview!$M$3:$M$62&gt;=ROW()-2)),Overview!$Y$3:$Y$62))</f>
        <v>E2_17.08.26_48h</v>
      </c>
      <c r="D100" s="55">
        <f>IF(A100="","",ROW()-2-LOOKUP(2,1/((Overview!$L$3:$L$62&lt;=ROW()-2)*(Overview!$M$3:$M$62&gt;=ROW()-2)),Overview!$L$3:$L$62)+1)</f>
        <v>25</v>
      </c>
      <c r="E100" s="33" t="str">
        <f>IF(A100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>sugar</v>
      </c>
      <c r="F100" s="55" t="str">
        <f>IF(A100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>c</v>
      </c>
      <c r="G100" s="113" t="str">
        <f>IF(A100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0" s="33" t="str">
        <f>IF(A100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>sugar</v>
      </c>
      <c r="I100" s="33" t="str">
        <f>IF(A100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0" s="55" t="str">
        <f>IF(A100="","","image"&amp;D100&amp;LOOKUP(2,1/((Overview!$L$3:$L$62&lt;=ROW()-2)*(Overview!$M$3:$M$62&gt;=ROW()-2)),Overview!$X$3:$X$62))</f>
        <v>image25.jpg</v>
      </c>
      <c r="K100" s="113" t="str">
        <f t="shared" si="9"/>
        <v>E2_17.08.26_48h_I025</v>
      </c>
      <c r="L100" s="56" t="str">
        <f>IF(U100="","",IF(V100=1,U100,IF(X100=1,W100,LEFT(W100,LEN(W100)-LEN(LOOKUP(2,1/((Overview!$L$3:$L$62&lt;=ROW()-2)*(Overview!$M$3:$M$62&gt;=ROW()-2)),Overview!$X$3:$X$62)))&amp;IF(COUNTIF($W$3:W100,W100)=1,"","__"&amp;COUNTIF($W$3:W100,W100))&amp;LOOKUP(2,1/((Overview!$L$3:$L$62&lt;=ROW()-2)*(Overview!$M$3:$M$62&gt;=ROW()-2)),Overview!$X$3:$X$62))))</f>
        <v>17.08.26_48h_sugar.jpg</v>
      </c>
      <c r="M100" s="5" t="str">
        <f>IF(A100="","",LOOKUP(2,1/((Overview!$L$3:$L$62&lt;=ROW()-2)*(Overview!$M$3:$M$62&gt;=ROW()-2)),Overview!$U$3:$U$62))</f>
        <v>Arrangement 2</v>
      </c>
      <c r="N100" s="5" t="str">
        <f>IF(A100="","",LOOKUP(2,1/((Overview!$L$3:$L$62&lt;=ROW()-2)*(Overview!$M$3:$M$62&gt;=ROW()-2)),Overview!$V$3:$V$62))</f>
        <v>annotationSet 2</v>
      </c>
      <c r="O100" s="5" t="str">
        <f>IF(A100="","",LOOKUP(2,1/((Overview!$L$3:$L$62&lt;=ROW()-2)*(Overview!$M$3:$M$62&gt;=ROW()-2)),Overview!$B$3:$B$62))</f>
        <v>17.08.26</v>
      </c>
      <c r="P100" s="14">
        <f>IF(A100="","",LOOKUP(2,1/((Overview!$L$3:$L$62&lt;=ROW()-2)*(Overview!$M$3:$M$62&gt;=ROW()-2)),Overview!$S$3:$S$62))</f>
        <v>46251</v>
      </c>
      <c r="Q100" s="5" t="str">
        <f>IF(A100="","",LOOKUP(2,1/((Overview!$L$3:$L$62&lt;=ROW()-2)*(Overview!$M$3:$M$62&gt;=ROW()-2)),Overview!$C$3:$C$62))</f>
        <v>48h</v>
      </c>
      <c r="R100" s="22" t="str">
        <f>IF(E100="","",IF(AND(I100&lt;&gt;"",LOOKUP(2,1/((Overview!$L$3:$L$62&lt;=ROW()-2)*(Overview!$M$3:$M$62&gt;=ROW()-2)),Overview!$Z$3:$Z$62)&lt;&gt;""),LEFT(E100,LEN(E100)-LEN(I100))&amp;LOOKUP(2,1/((Overview!$L$3:$L$62&lt;=ROW()-2)*(Overview!$M$3:$M$62&gt;=ROW()-2)),Overview!$Z$3:$Z$62)&amp;" "&amp;I100,E100)&amp;IF(AND(Q100="",LOOKUP(2,1/((Overview!$L$3:$L$62&lt;=ROW()-2)*(Overview!$M$3:$M$62&gt;=ROW()-2)),Overview!$W$3:$W$62)=""),"",", "&amp;IF(Q100&lt;&gt;"",Q100,"")&amp;IF(AND(Q100&lt;&gt;"",LOOKUP(2,1/((Overview!$L$3:$L$62&lt;=ROW()-2)*(Overview!$M$3:$M$62&gt;=ROW()-2)),Overview!$W$3:$W$62)&lt;&gt;"")," ","")&amp;LOOKUP(2,1/((Overview!$L$3:$L$62&lt;=ROW()-2)*(Overview!$M$3:$M$62&gt;=ROW()-2)),Overview!$W$3:$W$62)))</f>
        <v>sugar, 48h</v>
      </c>
      <c r="S100" t="str">
        <f t="shared" si="6"/>
        <v>Unique</v>
      </c>
      <c r="U100" s="10" t="str">
        <f>IF(A100="","",O100&amp;IF(LOOKUP(2,1/((Overview!$L$3:$L$62&lt;=ROW()-2)*(Overview!$M$3:$M$62&gt;=ROW()-2)),Overview!$T$3:$T$62)&lt;&gt;"","_"&amp;LOOKUP(2,1/((Overview!$L$3:$L$62&lt;=ROW()-2)*(Overview!$M$3:$M$62&gt;=ROW()-2)),Overview!$T$3:$T$62),"")&amp;IF(Q100&lt;&gt;"","_"&amp;Q100,"")&amp;IF(E100&lt;&gt;"","_"&amp;E100,"")&amp;LOOKUP(2,1/((Overview!$L$3:$L$62&lt;=ROW()-2)*(Overview!$M$3:$M$62&gt;=ROW()-2)),Overview!$X$3:$X$62))</f>
        <v>17.08.26_48h_sugar.jpg</v>
      </c>
      <c r="V100">
        <f t="shared" si="7"/>
        <v>1</v>
      </c>
      <c r="W100" t="str">
        <f>IF(U100="","",O100&amp;IF(LOOKUP(2,1/((Overview!$L$3:$L$62&lt;=ROW()-2)*(Overview!$M$3:$M$62&gt;=ROW()-2)),Overview!$T$3:$T$62)&lt;&gt;"","_"&amp;LOOKUP(2,1/((Overview!$L$3:$L$62&lt;=ROW()-2)*(Overview!$M$3:$M$62&gt;=ROW()-2)),Overview!$T$3:$T$62),"")&amp;"_"&amp;IF(LEFT(LOWER(TRIM(F100)),3)="set",TRIM(F100),"Set"&amp;TRIM(F100))&amp;IF(Q100&lt;&gt;"","_"&amp;Q100,"")&amp;IF(E100&lt;&gt;"","_"&amp;E100,"")&amp;LOOKUP(2,1/((Overview!$L$3:$L$62&lt;=ROW()-2)*(Overview!$M$3:$M$62&gt;=ROW()-2)),Overview!$X$3:$X$62))</f>
        <v>17.08.26_Setc_48h_sugar.jpg</v>
      </c>
      <c r="X100">
        <f t="shared" si="8"/>
        <v>1</v>
      </c>
    </row>
    <row r="101" spans="1:24" ht="13.9" thickBot="1">
      <c r="A101" s="5" t="str">
        <f>IF(ROW()-2&gt;SUMIFS(Overview!$K$3:$K$62,Overview!$N$3:$N$62,"OK"),"",LOOKUP(2,1/((Overview!$L$3:$L$62&lt;=ROW()-2)*(Overview!$M$3:$M$62&gt;=ROW()-2)),Overview!$R$3:$R$62))</f>
        <v/>
      </c>
      <c r="B101" s="5" t="str">
        <f>IF(A101="","",LOOKUP(2,1/((Overview!$L$3:$L$62&lt;=ROW()-2)*(Overview!$M$3:$M$62&gt;=ROW()-2)),Overview!$O$3:$O$62))</f>
        <v/>
      </c>
      <c r="C101" s="5" t="str">
        <f>IF(A101="","",LOOKUP(2,1/((Overview!$L$3:$L$62&lt;=ROW()-2)*(Overview!$M$3:$M$62&gt;=ROW()-2)),Overview!$Y$3:$Y$62))</f>
        <v/>
      </c>
      <c r="D101" s="113" t="str">
        <f>IF(A101="","",ROW()-2-LOOKUP(2,1/((Overview!$L$3:$L$62&lt;=ROW()-2)*(Overview!$M$3:$M$62&gt;=ROW()-2)),Overview!$L$3:$L$62)+1)</f>
        <v/>
      </c>
      <c r="E101" s="113" t="str">
        <f>IF(A101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1" s="113" t="str">
        <f>IF(A101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1" s="113" t="str">
        <f>IF(A101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1" s="113" t="str">
        <f>IF(A101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1" s="113" t="str">
        <f>IF(A101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1" s="113" t="str">
        <f>IF(A101="","","image"&amp;D101&amp;LOOKUP(2,1/((Overview!$L$3:$L$62&lt;=ROW()-2)*(Overview!$M$3:$M$62&gt;=ROW()-2)),Overview!$X$3:$X$62))</f>
        <v/>
      </c>
      <c r="K101" s="113" t="str">
        <f t="shared" si="9"/>
        <v/>
      </c>
      <c r="L101" s="111" t="str">
        <f>IF(U101="","",IF(V101=1,U101,IF(X101=1,W101,LEFT(W101,LEN(W101)-LEN(LOOKUP(2,1/((Overview!$L$3:$L$62&lt;=ROW()-2)*(Overview!$M$3:$M$62&gt;=ROW()-2)),Overview!$X$3:$X$62)))&amp;IF(COUNTIF($W$3:W101,W101)=1,"","__"&amp;COUNTIF($W$3:W101,W101))&amp;LOOKUP(2,1/((Overview!$L$3:$L$62&lt;=ROW()-2)*(Overview!$M$3:$M$62&gt;=ROW()-2)),Overview!$X$3:$X$62))))</f>
        <v/>
      </c>
      <c r="M101" s="5" t="str">
        <f>IF(A101="","",LOOKUP(2,1/((Overview!$L$3:$L$62&lt;=ROW()-2)*(Overview!$M$3:$M$62&gt;=ROW()-2)),Overview!$U$3:$U$62))</f>
        <v/>
      </c>
      <c r="N101" s="5" t="str">
        <f>IF(A101="","",LOOKUP(2,1/((Overview!$L$3:$L$62&lt;=ROW()-2)*(Overview!$M$3:$M$62&gt;=ROW()-2)),Overview!$V$3:$V$62))</f>
        <v/>
      </c>
      <c r="O101" s="5" t="str">
        <f>IF(A101="","",LOOKUP(2,1/((Overview!$L$3:$L$62&lt;=ROW()-2)*(Overview!$M$3:$M$62&gt;=ROW()-2)),Overview!$B$3:$B$62))</f>
        <v/>
      </c>
      <c r="P101" s="14" t="str">
        <f>IF(A101="","",LOOKUP(2,1/((Overview!$L$3:$L$62&lt;=ROW()-2)*(Overview!$M$3:$M$62&gt;=ROW()-2)),Overview!$S$3:$S$62))</f>
        <v/>
      </c>
      <c r="Q101" s="5" t="str">
        <f>IF(A101="","",LOOKUP(2,1/((Overview!$L$3:$L$62&lt;=ROW()-2)*(Overview!$M$3:$M$62&gt;=ROW()-2)),Overview!$C$3:$C$62))</f>
        <v/>
      </c>
      <c r="R101" s="22" t="str">
        <f>IF(E101="","",IF(AND(I101&lt;&gt;"",LOOKUP(2,1/((Overview!$L$3:$L$62&lt;=ROW()-2)*(Overview!$M$3:$M$62&gt;=ROW()-2)),Overview!$Z$3:$Z$62)&lt;&gt;""),LEFT(E101,LEN(E101)-LEN(I101))&amp;LOOKUP(2,1/((Overview!$L$3:$L$62&lt;=ROW()-2)*(Overview!$M$3:$M$62&gt;=ROW()-2)),Overview!$Z$3:$Z$62)&amp;" "&amp;I101,E101)&amp;IF(AND(Q101="",LOOKUP(2,1/((Overview!$L$3:$L$62&lt;=ROW()-2)*(Overview!$M$3:$M$62&gt;=ROW()-2)),Overview!$W$3:$W$62)=""),"",", "&amp;IF(Q101&lt;&gt;"",Q101,"")&amp;IF(AND(Q101&lt;&gt;"",LOOKUP(2,1/((Overview!$L$3:$L$62&lt;=ROW()-2)*(Overview!$M$3:$M$62&gt;=ROW()-2)),Overview!$W$3:$W$62)&lt;&gt;""),"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1" t="str">
        <f t="shared" si="6"/>
        <v/>
      </c>
      <c r="U101" s="10" t="str">
        <f>IF(A101="","",O101&amp;IF(LOOKUP(2,1/((Overview!$L$3:$L$62&lt;=ROW()-2)*(Overview!$M$3:$M$62&gt;=ROW()-2)),Overview!$T$3:$T$62)&lt;&gt;"","_"&amp;LOOKUP(2,1/((Overview!$L$3:$L$62&lt;=ROW()-2)*(Overview!$M$3:$M$62&gt;=ROW()-2)),Overview!$T$3:$T$62),"")&amp;IF(Q101&lt;&gt;"","_"&amp;Q101,"")&amp;IF(E101&lt;&gt;"","_"&amp;E101,"")&amp;LOOKUP(2,1/((Overview!$L$3:$L$62&lt;=ROW()-2)*(Overview!$M$3:$M$62&gt;=ROW()-2)),Overview!$X$3:$X$62))</f>
        <v/>
      </c>
      <c r="V101" t="str">
        <f t="shared" si="7"/>
        <v/>
      </c>
      <c r="W101" t="str">
        <f>IF(U101="","",O101&amp;IF(LOOKUP(2,1/((Overview!$L$3:$L$62&lt;=ROW()-2)*(Overview!$M$3:$M$62&gt;=ROW()-2)),Overview!$T$3:$T$62)&lt;&gt;"","_"&amp;LOOKUP(2,1/((Overview!$L$3:$L$62&lt;=ROW()-2)*(Overview!$M$3:$M$62&gt;=ROW()-2)),Overview!$T$3:$T$62),"")&amp;"_"&amp;IF(LEFT(LOWER(TRIM(F101)),3)="set",TRIM(F101),"Set"&amp;TRIM(F101))&amp;IF(Q101&lt;&gt;"","_"&amp;Q101,"")&amp;IF(E101&lt;&gt;"","_"&amp;E101,"")&amp;LOOKUP(2,1/((Overview!$L$3:$L$62&lt;=ROW()-2)*(Overview!$M$3:$M$62&gt;=ROW()-2)),Overview!$X$3:$X$62))</f>
        <v/>
      </c>
      <c r="X101" t="str">
        <f t="shared" si="8"/>
        <v/>
      </c>
    </row>
    <row r="102" spans="1:24" ht="13.9" thickBot="1">
      <c r="A102" s="5" t="str">
        <f>IF(ROW()-2&gt;SUMIFS(Overview!$K$3:$K$62,Overview!$N$3:$N$62,"OK"),"",LOOKUP(2,1/((Overview!$L$3:$L$62&lt;=ROW()-2)*(Overview!$M$3:$M$62&gt;=ROW()-2)),Overview!$R$3:$R$62))</f>
        <v/>
      </c>
      <c r="B102" s="5" t="str">
        <f>IF(A102="","",LOOKUP(2,1/((Overview!$L$3:$L$62&lt;=ROW()-2)*(Overview!$M$3:$M$62&gt;=ROW()-2)),Overview!$O$3:$O$62))</f>
        <v/>
      </c>
      <c r="C102" s="5" t="str">
        <f>IF(A102="","",LOOKUP(2,1/((Overview!$L$3:$L$62&lt;=ROW()-2)*(Overview!$M$3:$M$62&gt;=ROW()-2)),Overview!$Y$3:$Y$62))</f>
        <v/>
      </c>
      <c r="D102" s="113" t="str">
        <f>IF(A102="","",ROW()-2-LOOKUP(2,1/((Overview!$L$3:$L$62&lt;=ROW()-2)*(Overview!$M$3:$M$62&gt;=ROW()-2)),Overview!$L$3:$L$62)+1)</f>
        <v/>
      </c>
      <c r="E102" s="113" t="str">
        <f>IF(A102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2" s="113" t="str">
        <f>IF(A102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2" s="113" t="str">
        <f>IF(A102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2" s="113" t="str">
        <f>IF(A102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2" s="113" t="str">
        <f>IF(A102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2" s="113" t="str">
        <f>IF(A102="","","image"&amp;D102&amp;LOOKUP(2,1/((Overview!$L$3:$L$62&lt;=ROW()-2)*(Overview!$M$3:$M$62&gt;=ROW()-2)),Overview!$X$3:$X$62))</f>
        <v/>
      </c>
      <c r="K102" s="113" t="str">
        <f t="shared" si="9"/>
        <v/>
      </c>
      <c r="L102" s="111" t="str">
        <f>IF(U102="","",IF(V102=1,U102,IF(X102=1,W102,LEFT(W102,LEN(W102)-LEN(LOOKUP(2,1/((Overview!$L$3:$L$62&lt;=ROW()-2)*(Overview!$M$3:$M$62&gt;=ROW()-2)),Overview!$X$3:$X$62)))&amp;IF(COUNTIF($W$3:W102,W102)=1,"","__"&amp;COUNTIF($W$3:W102,W102))&amp;LOOKUP(2,1/((Overview!$L$3:$L$62&lt;=ROW()-2)*(Overview!$M$3:$M$62&gt;=ROW()-2)),Overview!$X$3:$X$62))))</f>
        <v/>
      </c>
      <c r="M102" s="5" t="str">
        <f>IF(A102="","",LOOKUP(2,1/((Overview!$L$3:$L$62&lt;=ROW()-2)*(Overview!$M$3:$M$62&gt;=ROW()-2)),Overview!$U$3:$U$62))</f>
        <v/>
      </c>
      <c r="N102" s="5" t="str">
        <f>IF(A102="","",LOOKUP(2,1/((Overview!$L$3:$L$62&lt;=ROW()-2)*(Overview!$M$3:$M$62&gt;=ROW()-2)),Overview!$V$3:$V$62))</f>
        <v/>
      </c>
      <c r="O102" s="5" t="str">
        <f>IF(A102="","",LOOKUP(2,1/((Overview!$L$3:$L$62&lt;=ROW()-2)*(Overview!$M$3:$M$62&gt;=ROW()-2)),Overview!$B$3:$B$62))</f>
        <v/>
      </c>
      <c r="P102" s="14" t="str">
        <f>IF(A102="","",LOOKUP(2,1/((Overview!$L$3:$L$62&lt;=ROW()-2)*(Overview!$M$3:$M$62&gt;=ROW()-2)),Overview!$S$3:$S$62))</f>
        <v/>
      </c>
      <c r="Q102" s="5" t="str">
        <f>IF(A102="","",LOOKUP(2,1/((Overview!$L$3:$L$62&lt;=ROW()-2)*(Overview!$M$3:$M$62&gt;=ROW()-2)),Overview!$C$3:$C$62))</f>
        <v/>
      </c>
      <c r="R102" s="22" t="str">
        <f>IF(E102="","",IF(AND(I102&lt;&gt;"",LOOKUP(2,1/((Overview!$L$3:$L$62&lt;=ROW()-2)*(Overview!$M$3:$M$62&gt;=ROW()-2)),Overview!$Z$3:$Z$62)&lt;&gt;""),LEFT(E102,LEN(E102)-LEN(I102))&amp;LOOKUP(2,1/((Overview!$L$3:$L$62&lt;=ROW()-2)*(Overview!$M$3:$M$62&gt;=ROW()-2)),Overview!$Z$3:$Z$62)&amp;" "&amp;I102,E102)&amp;IF(AND(Q102="",LOOKUP(2,1/((Overview!$L$3:$L$62&lt;=ROW()-2)*(Overview!$M$3:$M$62&gt;=ROW()-2)),Overview!$W$3:$W$62)=""),"",", "&amp;IF(Q102&lt;&gt;"",Q102,"")&amp;IF(AND(Q102&lt;&gt;"",LOOKUP(2,1/((Overview!$L$3:$L$62&lt;=ROW()-2)*(Overview!$M$3:$M$62&gt;=ROW()-2)),Overview!$W$3:$W$62)&lt;&gt;""),"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2" t="str">
        <f t="shared" si="6"/>
        <v/>
      </c>
      <c r="U102" s="10" t="str">
        <f>IF(A102="","",O102&amp;IF(LOOKUP(2,1/((Overview!$L$3:$L$62&lt;=ROW()-2)*(Overview!$M$3:$M$62&gt;=ROW()-2)),Overview!$T$3:$T$62)&lt;&gt;"","_"&amp;LOOKUP(2,1/((Overview!$L$3:$L$62&lt;=ROW()-2)*(Overview!$M$3:$M$62&gt;=ROW()-2)),Overview!$T$3:$T$62),"")&amp;IF(Q102&lt;&gt;"","_"&amp;Q102,"")&amp;IF(E102&lt;&gt;"","_"&amp;E102,"")&amp;LOOKUP(2,1/((Overview!$L$3:$L$62&lt;=ROW()-2)*(Overview!$M$3:$M$62&gt;=ROW()-2)),Overview!$X$3:$X$62))</f>
        <v/>
      </c>
      <c r="V102" t="str">
        <f t="shared" si="7"/>
        <v/>
      </c>
      <c r="W102" t="str">
        <f>IF(U102="","",O102&amp;IF(LOOKUP(2,1/((Overview!$L$3:$L$62&lt;=ROW()-2)*(Overview!$M$3:$M$62&gt;=ROW()-2)),Overview!$T$3:$T$62)&lt;&gt;"","_"&amp;LOOKUP(2,1/((Overview!$L$3:$L$62&lt;=ROW()-2)*(Overview!$M$3:$M$62&gt;=ROW()-2)),Overview!$T$3:$T$62),"")&amp;"_"&amp;IF(LEFT(LOWER(TRIM(F102)),3)="set",TRIM(F102),"Set"&amp;TRIM(F102))&amp;IF(Q102&lt;&gt;"","_"&amp;Q102,"")&amp;IF(E102&lt;&gt;"","_"&amp;E102,"")&amp;LOOKUP(2,1/((Overview!$L$3:$L$62&lt;=ROW()-2)*(Overview!$M$3:$M$62&gt;=ROW()-2)),Overview!$X$3:$X$62))</f>
        <v/>
      </c>
      <c r="X102" t="str">
        <f t="shared" si="8"/>
        <v/>
      </c>
    </row>
    <row r="103" spans="1:24" ht="13.9" thickBot="1">
      <c r="A103" s="5" t="str">
        <f>IF(ROW()-2&gt;SUMIFS(Overview!$K$3:$K$62,Overview!$N$3:$N$62,"OK"),"",LOOKUP(2,1/((Overview!$L$3:$L$62&lt;=ROW()-2)*(Overview!$M$3:$M$62&gt;=ROW()-2)),Overview!$R$3:$R$62))</f>
        <v/>
      </c>
      <c r="B103" s="5" t="str">
        <f>IF(A103="","",LOOKUP(2,1/((Overview!$L$3:$L$62&lt;=ROW()-2)*(Overview!$M$3:$M$62&gt;=ROW()-2)),Overview!$O$3:$O$62))</f>
        <v/>
      </c>
      <c r="C103" s="5" t="str">
        <f>IF(A103="","",LOOKUP(2,1/((Overview!$L$3:$L$62&lt;=ROW()-2)*(Overview!$M$3:$M$62&gt;=ROW()-2)),Overview!$Y$3:$Y$62))</f>
        <v/>
      </c>
      <c r="D103" s="113" t="str">
        <f>IF(A103="","",ROW()-2-LOOKUP(2,1/((Overview!$L$3:$L$62&lt;=ROW()-2)*(Overview!$M$3:$M$62&gt;=ROW()-2)),Overview!$L$3:$L$62)+1)</f>
        <v/>
      </c>
      <c r="E103" s="113" t="str">
        <f>IF(A103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3" s="113" t="str">
        <f>IF(A103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3" s="113" t="str">
        <f>IF(A103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3" s="113" t="str">
        <f>IF(A103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3" s="113" t="str">
        <f>IF(A103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3" s="113" t="str">
        <f>IF(A103="","","image"&amp;D103&amp;LOOKUP(2,1/((Overview!$L$3:$L$62&lt;=ROW()-2)*(Overview!$M$3:$M$62&gt;=ROW()-2)),Overview!$X$3:$X$62))</f>
        <v/>
      </c>
      <c r="K103" s="113" t="str">
        <f t="shared" si="9"/>
        <v/>
      </c>
      <c r="L103" s="111" t="str">
        <f>IF(U103="","",IF(V103=1,U103,IF(X103=1,W103,LEFT(W103,LEN(W103)-LEN(LOOKUP(2,1/((Overview!$L$3:$L$62&lt;=ROW()-2)*(Overview!$M$3:$M$62&gt;=ROW()-2)),Overview!$X$3:$X$62)))&amp;IF(COUNTIF($W$3:W103,W103)=1,"","__"&amp;COUNTIF($W$3:W103,W103))&amp;LOOKUP(2,1/((Overview!$L$3:$L$62&lt;=ROW()-2)*(Overview!$M$3:$M$62&gt;=ROW()-2)),Overview!$X$3:$X$62))))</f>
        <v/>
      </c>
      <c r="M103" s="5" t="str">
        <f>IF(A103="","",LOOKUP(2,1/((Overview!$L$3:$L$62&lt;=ROW()-2)*(Overview!$M$3:$M$62&gt;=ROW()-2)),Overview!$U$3:$U$62))</f>
        <v/>
      </c>
      <c r="N103" s="5" t="str">
        <f>IF(A103="","",LOOKUP(2,1/((Overview!$L$3:$L$62&lt;=ROW()-2)*(Overview!$M$3:$M$62&gt;=ROW()-2)),Overview!$V$3:$V$62))</f>
        <v/>
      </c>
      <c r="O103" s="5" t="str">
        <f>IF(A103="","",LOOKUP(2,1/((Overview!$L$3:$L$62&lt;=ROW()-2)*(Overview!$M$3:$M$62&gt;=ROW()-2)),Overview!$B$3:$B$62))</f>
        <v/>
      </c>
      <c r="P103" s="14" t="str">
        <f>IF(A103="","",LOOKUP(2,1/((Overview!$L$3:$L$62&lt;=ROW()-2)*(Overview!$M$3:$M$62&gt;=ROW()-2)),Overview!$S$3:$S$62))</f>
        <v/>
      </c>
      <c r="Q103" s="5" t="str">
        <f>IF(A103="","",LOOKUP(2,1/((Overview!$L$3:$L$62&lt;=ROW()-2)*(Overview!$M$3:$M$62&gt;=ROW()-2)),Overview!$C$3:$C$62))</f>
        <v/>
      </c>
      <c r="R103" s="22" t="str">
        <f>IF(E103="","",IF(AND(I103&lt;&gt;"",LOOKUP(2,1/((Overview!$L$3:$L$62&lt;=ROW()-2)*(Overview!$M$3:$M$62&gt;=ROW()-2)),Overview!$Z$3:$Z$62)&lt;&gt;""),LEFT(E103,LEN(E103)-LEN(I103))&amp;LOOKUP(2,1/((Overview!$L$3:$L$62&lt;=ROW()-2)*(Overview!$M$3:$M$62&gt;=ROW()-2)),Overview!$Z$3:$Z$62)&amp;" "&amp;I103,E103)&amp;IF(AND(Q103="",LOOKUP(2,1/((Overview!$L$3:$L$62&lt;=ROW()-2)*(Overview!$M$3:$M$62&gt;=ROW()-2)),Overview!$W$3:$W$62)=""),"",", "&amp;IF(Q103&lt;&gt;"",Q103,"")&amp;IF(AND(Q103&lt;&gt;"",LOOKUP(2,1/((Overview!$L$3:$L$62&lt;=ROW()-2)*(Overview!$M$3:$M$62&gt;=ROW()-2)),Overview!$W$3:$W$62)&lt;&gt;""),"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3" t="str">
        <f t="shared" si="6"/>
        <v/>
      </c>
      <c r="U103" s="10" t="str">
        <f>IF(A103="","",O103&amp;IF(LOOKUP(2,1/((Overview!$L$3:$L$62&lt;=ROW()-2)*(Overview!$M$3:$M$62&gt;=ROW()-2)),Overview!$T$3:$T$62)&lt;&gt;"","_"&amp;LOOKUP(2,1/((Overview!$L$3:$L$62&lt;=ROW()-2)*(Overview!$M$3:$M$62&gt;=ROW()-2)),Overview!$T$3:$T$62),"")&amp;IF(Q103&lt;&gt;"","_"&amp;Q103,"")&amp;IF(E103&lt;&gt;"","_"&amp;E103,"")&amp;LOOKUP(2,1/((Overview!$L$3:$L$62&lt;=ROW()-2)*(Overview!$M$3:$M$62&gt;=ROW()-2)),Overview!$X$3:$X$62))</f>
        <v/>
      </c>
      <c r="V103" t="str">
        <f t="shared" si="7"/>
        <v/>
      </c>
      <c r="W103" t="str">
        <f>IF(U103="","",O103&amp;IF(LOOKUP(2,1/((Overview!$L$3:$L$62&lt;=ROW()-2)*(Overview!$M$3:$M$62&gt;=ROW()-2)),Overview!$T$3:$T$62)&lt;&gt;"","_"&amp;LOOKUP(2,1/((Overview!$L$3:$L$62&lt;=ROW()-2)*(Overview!$M$3:$M$62&gt;=ROW()-2)),Overview!$T$3:$T$62),"")&amp;"_"&amp;IF(LEFT(LOWER(TRIM(F103)),3)="set",TRIM(F103),"Set"&amp;TRIM(F103))&amp;IF(Q103&lt;&gt;"","_"&amp;Q103,"")&amp;IF(E103&lt;&gt;"","_"&amp;E103,"")&amp;LOOKUP(2,1/((Overview!$L$3:$L$62&lt;=ROW()-2)*(Overview!$M$3:$M$62&gt;=ROW()-2)),Overview!$X$3:$X$62))</f>
        <v/>
      </c>
      <c r="X103" t="str">
        <f t="shared" si="8"/>
        <v/>
      </c>
    </row>
    <row r="104" spans="1:24" ht="13.9" thickBot="1">
      <c r="A104" s="5" t="str">
        <f>IF(ROW()-2&gt;SUMIFS(Overview!$K$3:$K$62,Overview!$N$3:$N$62,"OK"),"",LOOKUP(2,1/((Overview!$L$3:$L$62&lt;=ROW()-2)*(Overview!$M$3:$M$62&gt;=ROW()-2)),Overview!$R$3:$R$62))</f>
        <v/>
      </c>
      <c r="B104" s="5" t="str">
        <f>IF(A104="","",LOOKUP(2,1/((Overview!$L$3:$L$62&lt;=ROW()-2)*(Overview!$M$3:$M$62&gt;=ROW()-2)),Overview!$O$3:$O$62))</f>
        <v/>
      </c>
      <c r="C104" s="5" t="str">
        <f>IF(A104="","",LOOKUP(2,1/((Overview!$L$3:$L$62&lt;=ROW()-2)*(Overview!$M$3:$M$62&gt;=ROW()-2)),Overview!$Y$3:$Y$62))</f>
        <v/>
      </c>
      <c r="D104" s="113" t="str">
        <f>IF(A104="","",ROW()-2-LOOKUP(2,1/((Overview!$L$3:$L$62&lt;=ROW()-2)*(Overview!$M$3:$M$62&gt;=ROW()-2)),Overview!$L$3:$L$62)+1)</f>
        <v/>
      </c>
      <c r="E104" s="113" t="str">
        <f>IF(A104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4" s="113" t="str">
        <f>IF(A104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4" s="113" t="str">
        <f>IF(A104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4" s="113" t="str">
        <f>IF(A104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4" s="113" t="str">
        <f>IF(A104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4" s="113" t="str">
        <f>IF(A104="","","image"&amp;D104&amp;LOOKUP(2,1/((Overview!$L$3:$L$62&lt;=ROW()-2)*(Overview!$M$3:$M$62&gt;=ROW()-2)),Overview!$X$3:$X$62))</f>
        <v/>
      </c>
      <c r="K104" s="113" t="str">
        <f t="shared" si="9"/>
        <v/>
      </c>
      <c r="L104" s="111" t="str">
        <f>IF(U104="","",IF(V104=1,U104,IF(X104=1,W104,LEFT(W104,LEN(W104)-LEN(LOOKUP(2,1/((Overview!$L$3:$L$62&lt;=ROW()-2)*(Overview!$M$3:$M$62&gt;=ROW()-2)),Overview!$X$3:$X$62)))&amp;IF(COUNTIF($W$3:W104,W104)=1,"","__"&amp;COUNTIF($W$3:W104,W104))&amp;LOOKUP(2,1/((Overview!$L$3:$L$62&lt;=ROW()-2)*(Overview!$M$3:$M$62&gt;=ROW()-2)),Overview!$X$3:$X$62))))</f>
        <v/>
      </c>
      <c r="M104" s="5" t="str">
        <f>IF(A104="","",LOOKUP(2,1/((Overview!$L$3:$L$62&lt;=ROW()-2)*(Overview!$M$3:$M$62&gt;=ROW()-2)),Overview!$U$3:$U$62))</f>
        <v/>
      </c>
      <c r="N104" s="5" t="str">
        <f>IF(A104="","",LOOKUP(2,1/((Overview!$L$3:$L$62&lt;=ROW()-2)*(Overview!$M$3:$M$62&gt;=ROW()-2)),Overview!$V$3:$V$62))</f>
        <v/>
      </c>
      <c r="O104" s="5" t="str">
        <f>IF(A104="","",LOOKUP(2,1/((Overview!$L$3:$L$62&lt;=ROW()-2)*(Overview!$M$3:$M$62&gt;=ROW()-2)),Overview!$B$3:$B$62))</f>
        <v/>
      </c>
      <c r="P104" s="14" t="str">
        <f>IF(A104="","",LOOKUP(2,1/((Overview!$L$3:$L$62&lt;=ROW()-2)*(Overview!$M$3:$M$62&gt;=ROW()-2)),Overview!$S$3:$S$62))</f>
        <v/>
      </c>
      <c r="Q104" s="5" t="str">
        <f>IF(A104="","",LOOKUP(2,1/((Overview!$L$3:$L$62&lt;=ROW()-2)*(Overview!$M$3:$M$62&gt;=ROW()-2)),Overview!$C$3:$C$62))</f>
        <v/>
      </c>
      <c r="R104" s="22" t="str">
        <f>IF(E104="","",IF(AND(I104&lt;&gt;"",LOOKUP(2,1/((Overview!$L$3:$L$62&lt;=ROW()-2)*(Overview!$M$3:$M$62&gt;=ROW()-2)),Overview!$Z$3:$Z$62)&lt;&gt;""),LEFT(E104,LEN(E104)-LEN(I104))&amp;LOOKUP(2,1/((Overview!$L$3:$L$62&lt;=ROW()-2)*(Overview!$M$3:$M$62&gt;=ROW()-2)),Overview!$Z$3:$Z$62)&amp;" "&amp;I104,E104)&amp;IF(AND(Q104="",LOOKUP(2,1/((Overview!$L$3:$L$62&lt;=ROW()-2)*(Overview!$M$3:$M$62&gt;=ROW()-2)),Overview!$W$3:$W$62)=""),"",", "&amp;IF(Q104&lt;&gt;"",Q104,"")&amp;IF(AND(Q104&lt;&gt;"",LOOKUP(2,1/((Overview!$L$3:$L$62&lt;=ROW()-2)*(Overview!$M$3:$M$62&gt;=ROW()-2)),Overview!$W$3:$W$62)&lt;&gt;""),"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4" t="str">
        <f t="shared" si="6"/>
        <v/>
      </c>
      <c r="U104" s="10" t="str">
        <f>IF(A104="","",O104&amp;IF(LOOKUP(2,1/((Overview!$L$3:$L$62&lt;=ROW()-2)*(Overview!$M$3:$M$62&gt;=ROW()-2)),Overview!$T$3:$T$62)&lt;&gt;"","_"&amp;LOOKUP(2,1/((Overview!$L$3:$L$62&lt;=ROW()-2)*(Overview!$M$3:$M$62&gt;=ROW()-2)),Overview!$T$3:$T$62),"")&amp;IF(Q104&lt;&gt;"","_"&amp;Q104,"")&amp;IF(E104&lt;&gt;"","_"&amp;E104,"")&amp;LOOKUP(2,1/((Overview!$L$3:$L$62&lt;=ROW()-2)*(Overview!$M$3:$M$62&gt;=ROW()-2)),Overview!$X$3:$X$62))</f>
        <v/>
      </c>
      <c r="V104" t="str">
        <f t="shared" si="7"/>
        <v/>
      </c>
      <c r="W104" t="str">
        <f>IF(U104="","",O104&amp;IF(LOOKUP(2,1/((Overview!$L$3:$L$62&lt;=ROW()-2)*(Overview!$M$3:$M$62&gt;=ROW()-2)),Overview!$T$3:$T$62)&lt;&gt;"","_"&amp;LOOKUP(2,1/((Overview!$L$3:$L$62&lt;=ROW()-2)*(Overview!$M$3:$M$62&gt;=ROW()-2)),Overview!$T$3:$T$62),"")&amp;"_"&amp;IF(LEFT(LOWER(TRIM(F104)),3)="set",TRIM(F104),"Set"&amp;TRIM(F104))&amp;IF(Q104&lt;&gt;"","_"&amp;Q104,"")&amp;IF(E104&lt;&gt;"","_"&amp;E104,"")&amp;LOOKUP(2,1/((Overview!$L$3:$L$62&lt;=ROW()-2)*(Overview!$M$3:$M$62&gt;=ROW()-2)),Overview!$X$3:$X$62))</f>
        <v/>
      </c>
      <c r="X104" t="str">
        <f t="shared" si="8"/>
        <v/>
      </c>
    </row>
    <row r="105" spans="1:24" ht="13.9" thickBot="1">
      <c r="A105" s="5" t="str">
        <f>IF(ROW()-2&gt;SUMIFS(Overview!$K$3:$K$62,Overview!$N$3:$N$62,"OK"),"",LOOKUP(2,1/((Overview!$L$3:$L$62&lt;=ROW()-2)*(Overview!$M$3:$M$62&gt;=ROW()-2)),Overview!$R$3:$R$62))</f>
        <v/>
      </c>
      <c r="B105" s="5" t="str">
        <f>IF(A105="","",LOOKUP(2,1/((Overview!$L$3:$L$62&lt;=ROW()-2)*(Overview!$M$3:$M$62&gt;=ROW()-2)),Overview!$O$3:$O$62))</f>
        <v/>
      </c>
      <c r="C105" s="5" t="str">
        <f>IF(A105="","",LOOKUP(2,1/((Overview!$L$3:$L$62&lt;=ROW()-2)*(Overview!$M$3:$M$62&gt;=ROW()-2)),Overview!$Y$3:$Y$62))</f>
        <v/>
      </c>
      <c r="D105" s="113" t="str">
        <f>IF(A105="","",ROW()-2-LOOKUP(2,1/((Overview!$L$3:$L$62&lt;=ROW()-2)*(Overview!$M$3:$M$62&gt;=ROW()-2)),Overview!$L$3:$L$62)+1)</f>
        <v/>
      </c>
      <c r="E105" s="113" t="str">
        <f>IF(A105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5" s="113" t="str">
        <f>IF(A105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5" s="113" t="str">
        <f>IF(A105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5" s="113" t="str">
        <f>IF(A105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5" s="113" t="str">
        <f>IF(A105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5" s="113" t="str">
        <f>IF(A105="","","image"&amp;D105&amp;LOOKUP(2,1/((Overview!$L$3:$L$62&lt;=ROW()-2)*(Overview!$M$3:$M$62&gt;=ROW()-2)),Overview!$X$3:$X$62))</f>
        <v/>
      </c>
      <c r="K105" s="113" t="str">
        <f t="shared" si="9"/>
        <v/>
      </c>
      <c r="L105" s="111" t="str">
        <f>IF(U105="","",IF(V105=1,U105,IF(X105=1,W105,LEFT(W105,LEN(W105)-LEN(LOOKUP(2,1/((Overview!$L$3:$L$62&lt;=ROW()-2)*(Overview!$M$3:$M$62&gt;=ROW()-2)),Overview!$X$3:$X$62)))&amp;IF(COUNTIF($W$3:W105,W105)=1,"","__"&amp;COUNTIF($W$3:W105,W105))&amp;LOOKUP(2,1/((Overview!$L$3:$L$62&lt;=ROW()-2)*(Overview!$M$3:$M$62&gt;=ROW()-2)),Overview!$X$3:$X$62))))</f>
        <v/>
      </c>
      <c r="M105" s="5" t="str">
        <f>IF(A105="","",LOOKUP(2,1/((Overview!$L$3:$L$62&lt;=ROW()-2)*(Overview!$M$3:$M$62&gt;=ROW()-2)),Overview!$U$3:$U$62))</f>
        <v/>
      </c>
      <c r="N105" s="5" t="str">
        <f>IF(A105="","",LOOKUP(2,1/((Overview!$L$3:$L$62&lt;=ROW()-2)*(Overview!$M$3:$M$62&gt;=ROW()-2)),Overview!$V$3:$V$62))</f>
        <v/>
      </c>
      <c r="O105" s="5" t="str">
        <f>IF(A105="","",LOOKUP(2,1/((Overview!$L$3:$L$62&lt;=ROW()-2)*(Overview!$M$3:$M$62&gt;=ROW()-2)),Overview!$B$3:$B$62))</f>
        <v/>
      </c>
      <c r="P105" s="14" t="str">
        <f>IF(A105="","",LOOKUP(2,1/((Overview!$L$3:$L$62&lt;=ROW()-2)*(Overview!$M$3:$M$62&gt;=ROW()-2)),Overview!$S$3:$S$62))</f>
        <v/>
      </c>
      <c r="Q105" s="5" t="str">
        <f>IF(A105="","",LOOKUP(2,1/((Overview!$L$3:$L$62&lt;=ROW()-2)*(Overview!$M$3:$M$62&gt;=ROW()-2)),Overview!$C$3:$C$62))</f>
        <v/>
      </c>
      <c r="R105" s="22" t="str">
        <f>IF(E105="","",IF(AND(I105&lt;&gt;"",LOOKUP(2,1/((Overview!$L$3:$L$62&lt;=ROW()-2)*(Overview!$M$3:$M$62&gt;=ROW()-2)),Overview!$Z$3:$Z$62)&lt;&gt;""),LEFT(E105,LEN(E105)-LEN(I105))&amp;LOOKUP(2,1/((Overview!$L$3:$L$62&lt;=ROW()-2)*(Overview!$M$3:$M$62&gt;=ROW()-2)),Overview!$Z$3:$Z$62)&amp;" "&amp;I105,E105)&amp;IF(AND(Q105="",LOOKUP(2,1/((Overview!$L$3:$L$62&lt;=ROW()-2)*(Overview!$M$3:$M$62&gt;=ROW()-2)),Overview!$W$3:$W$62)=""),"",", "&amp;IF(Q105&lt;&gt;"",Q105,"")&amp;IF(AND(Q105&lt;&gt;"",LOOKUP(2,1/((Overview!$L$3:$L$62&lt;=ROW()-2)*(Overview!$M$3:$M$62&gt;=ROW()-2)),Overview!$W$3:$W$62)&lt;&gt;""),"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5" t="str">
        <f t="shared" si="6"/>
        <v/>
      </c>
      <c r="U105" s="10" t="str">
        <f>IF(A105="","",O105&amp;IF(LOOKUP(2,1/((Overview!$L$3:$L$62&lt;=ROW()-2)*(Overview!$M$3:$M$62&gt;=ROW()-2)),Overview!$T$3:$T$62)&lt;&gt;"","_"&amp;LOOKUP(2,1/((Overview!$L$3:$L$62&lt;=ROW()-2)*(Overview!$M$3:$M$62&gt;=ROW()-2)),Overview!$T$3:$T$62),"")&amp;IF(Q105&lt;&gt;"","_"&amp;Q105,"")&amp;IF(E105&lt;&gt;"","_"&amp;E105,"")&amp;LOOKUP(2,1/((Overview!$L$3:$L$62&lt;=ROW()-2)*(Overview!$M$3:$M$62&gt;=ROW()-2)),Overview!$X$3:$X$62))</f>
        <v/>
      </c>
      <c r="V105" t="str">
        <f t="shared" si="7"/>
        <v/>
      </c>
      <c r="W105" t="str">
        <f>IF(U105="","",O105&amp;IF(LOOKUP(2,1/((Overview!$L$3:$L$62&lt;=ROW()-2)*(Overview!$M$3:$M$62&gt;=ROW()-2)),Overview!$T$3:$T$62)&lt;&gt;"","_"&amp;LOOKUP(2,1/((Overview!$L$3:$L$62&lt;=ROW()-2)*(Overview!$M$3:$M$62&gt;=ROW()-2)),Overview!$T$3:$T$62),"")&amp;"_"&amp;IF(LEFT(LOWER(TRIM(F105)),3)="set",TRIM(F105),"Set"&amp;TRIM(F105))&amp;IF(Q105&lt;&gt;"","_"&amp;Q105,"")&amp;IF(E105&lt;&gt;"","_"&amp;E105,"")&amp;LOOKUP(2,1/((Overview!$L$3:$L$62&lt;=ROW()-2)*(Overview!$M$3:$M$62&gt;=ROW()-2)),Overview!$X$3:$X$62))</f>
        <v/>
      </c>
      <c r="X105" t="str">
        <f t="shared" si="8"/>
        <v/>
      </c>
    </row>
    <row r="106" spans="1:24" ht="13.9" thickBot="1">
      <c r="A106" s="5" t="str">
        <f>IF(ROW()-2&gt;SUMIFS(Overview!$K$3:$K$62,Overview!$N$3:$N$62,"OK"),"",LOOKUP(2,1/((Overview!$L$3:$L$62&lt;=ROW()-2)*(Overview!$M$3:$M$62&gt;=ROW()-2)),Overview!$R$3:$R$62))</f>
        <v/>
      </c>
      <c r="B106" s="5" t="str">
        <f>IF(A106="","",LOOKUP(2,1/((Overview!$L$3:$L$62&lt;=ROW()-2)*(Overview!$M$3:$M$62&gt;=ROW()-2)),Overview!$O$3:$O$62))</f>
        <v/>
      </c>
      <c r="C106" s="5" t="str">
        <f>IF(A106="","",LOOKUP(2,1/((Overview!$L$3:$L$62&lt;=ROW()-2)*(Overview!$M$3:$M$62&gt;=ROW()-2)),Overview!$Y$3:$Y$62))</f>
        <v/>
      </c>
      <c r="D106" s="113" t="str">
        <f>IF(A106="","",ROW()-2-LOOKUP(2,1/((Overview!$L$3:$L$62&lt;=ROW()-2)*(Overview!$M$3:$M$62&gt;=ROW()-2)),Overview!$L$3:$L$62)+1)</f>
        <v/>
      </c>
      <c r="E106" s="113" t="str">
        <f>IF(A106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6" s="113" t="str">
        <f>IF(A106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6" s="113" t="str">
        <f>IF(A106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6" s="113" t="str">
        <f>IF(A106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6" s="113" t="str">
        <f>IF(A106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6" s="113" t="str">
        <f>IF(A106="","","image"&amp;D106&amp;LOOKUP(2,1/((Overview!$L$3:$L$62&lt;=ROW()-2)*(Overview!$M$3:$M$62&gt;=ROW()-2)),Overview!$X$3:$X$62))</f>
        <v/>
      </c>
      <c r="K106" s="113" t="str">
        <f t="shared" si="9"/>
        <v/>
      </c>
      <c r="L106" s="111" t="str">
        <f>IF(U106="","",IF(V106=1,U106,IF(X106=1,W106,LEFT(W106,LEN(W106)-LEN(LOOKUP(2,1/((Overview!$L$3:$L$62&lt;=ROW()-2)*(Overview!$M$3:$M$62&gt;=ROW()-2)),Overview!$X$3:$X$62)))&amp;IF(COUNTIF($W$3:W106,W106)=1,"","__"&amp;COUNTIF($W$3:W106,W106))&amp;LOOKUP(2,1/((Overview!$L$3:$L$62&lt;=ROW()-2)*(Overview!$M$3:$M$62&gt;=ROW()-2)),Overview!$X$3:$X$62))))</f>
        <v/>
      </c>
      <c r="M106" s="5" t="str">
        <f>IF(A106="","",LOOKUP(2,1/((Overview!$L$3:$L$62&lt;=ROW()-2)*(Overview!$M$3:$M$62&gt;=ROW()-2)),Overview!$U$3:$U$62))</f>
        <v/>
      </c>
      <c r="N106" s="5" t="str">
        <f>IF(A106="","",LOOKUP(2,1/((Overview!$L$3:$L$62&lt;=ROW()-2)*(Overview!$M$3:$M$62&gt;=ROW()-2)),Overview!$V$3:$V$62))</f>
        <v/>
      </c>
      <c r="O106" s="5" t="str">
        <f>IF(A106="","",LOOKUP(2,1/((Overview!$L$3:$L$62&lt;=ROW()-2)*(Overview!$M$3:$M$62&gt;=ROW()-2)),Overview!$B$3:$B$62))</f>
        <v/>
      </c>
      <c r="P106" s="14" t="str">
        <f>IF(A106="","",LOOKUP(2,1/((Overview!$L$3:$L$62&lt;=ROW()-2)*(Overview!$M$3:$M$62&gt;=ROW()-2)),Overview!$S$3:$S$62))</f>
        <v/>
      </c>
      <c r="Q106" s="5" t="str">
        <f>IF(A106="","",LOOKUP(2,1/((Overview!$L$3:$L$62&lt;=ROW()-2)*(Overview!$M$3:$M$62&gt;=ROW()-2)),Overview!$C$3:$C$62))</f>
        <v/>
      </c>
      <c r="R106" s="22" t="str">
        <f>IF(E106="","",IF(AND(I106&lt;&gt;"",LOOKUP(2,1/((Overview!$L$3:$L$62&lt;=ROW()-2)*(Overview!$M$3:$M$62&gt;=ROW()-2)),Overview!$Z$3:$Z$62)&lt;&gt;""),LEFT(E106,LEN(E106)-LEN(I106))&amp;LOOKUP(2,1/((Overview!$L$3:$L$62&lt;=ROW()-2)*(Overview!$M$3:$M$62&gt;=ROW()-2)),Overview!$Z$3:$Z$62)&amp;" "&amp;I106,E106)&amp;IF(AND(Q106="",LOOKUP(2,1/((Overview!$L$3:$L$62&lt;=ROW()-2)*(Overview!$M$3:$M$62&gt;=ROW()-2)),Overview!$W$3:$W$62)=""),"",", "&amp;IF(Q106&lt;&gt;"",Q106,"")&amp;IF(AND(Q106&lt;&gt;"",LOOKUP(2,1/((Overview!$L$3:$L$62&lt;=ROW()-2)*(Overview!$M$3:$M$62&gt;=ROW()-2)),Overview!$W$3:$W$62)&lt;&gt;""),"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6" t="str">
        <f t="shared" si="6"/>
        <v/>
      </c>
      <c r="U106" s="10" t="str">
        <f>IF(A106="","",O106&amp;IF(LOOKUP(2,1/((Overview!$L$3:$L$62&lt;=ROW()-2)*(Overview!$M$3:$M$62&gt;=ROW()-2)),Overview!$T$3:$T$62)&lt;&gt;"","_"&amp;LOOKUP(2,1/((Overview!$L$3:$L$62&lt;=ROW()-2)*(Overview!$M$3:$M$62&gt;=ROW()-2)),Overview!$T$3:$T$62),"")&amp;IF(Q106&lt;&gt;"","_"&amp;Q106,"")&amp;IF(E106&lt;&gt;"","_"&amp;E106,"")&amp;LOOKUP(2,1/((Overview!$L$3:$L$62&lt;=ROW()-2)*(Overview!$M$3:$M$62&gt;=ROW()-2)),Overview!$X$3:$X$62))</f>
        <v/>
      </c>
      <c r="V106" t="str">
        <f t="shared" si="7"/>
        <v/>
      </c>
      <c r="W106" t="str">
        <f>IF(U106="","",O106&amp;IF(LOOKUP(2,1/((Overview!$L$3:$L$62&lt;=ROW()-2)*(Overview!$M$3:$M$62&gt;=ROW()-2)),Overview!$T$3:$T$62)&lt;&gt;"","_"&amp;LOOKUP(2,1/((Overview!$L$3:$L$62&lt;=ROW()-2)*(Overview!$M$3:$M$62&gt;=ROW()-2)),Overview!$T$3:$T$62),"")&amp;"_"&amp;IF(LEFT(LOWER(TRIM(F106)),3)="set",TRIM(F106),"Set"&amp;TRIM(F106))&amp;IF(Q106&lt;&gt;"","_"&amp;Q106,"")&amp;IF(E106&lt;&gt;"","_"&amp;E106,"")&amp;LOOKUP(2,1/((Overview!$L$3:$L$62&lt;=ROW()-2)*(Overview!$M$3:$M$62&gt;=ROW()-2)),Overview!$X$3:$X$62))</f>
        <v/>
      </c>
      <c r="X106" t="str">
        <f t="shared" si="8"/>
        <v/>
      </c>
    </row>
    <row r="107" spans="1:24" ht="13.9" thickBot="1">
      <c r="A107" s="5" t="str">
        <f>IF(ROW()-2&gt;SUMIFS(Overview!$K$3:$K$62,Overview!$N$3:$N$62,"OK"),"",LOOKUP(2,1/((Overview!$L$3:$L$62&lt;=ROW()-2)*(Overview!$M$3:$M$62&gt;=ROW()-2)),Overview!$R$3:$R$62))</f>
        <v/>
      </c>
      <c r="B107" s="5" t="str">
        <f>IF(A107="","",LOOKUP(2,1/((Overview!$L$3:$L$62&lt;=ROW()-2)*(Overview!$M$3:$M$62&gt;=ROW()-2)),Overview!$O$3:$O$62))</f>
        <v/>
      </c>
      <c r="C107" s="5" t="str">
        <f>IF(A107="","",LOOKUP(2,1/((Overview!$L$3:$L$62&lt;=ROW()-2)*(Overview!$M$3:$M$62&gt;=ROW()-2)),Overview!$Y$3:$Y$62))</f>
        <v/>
      </c>
      <c r="D107" s="113" t="str">
        <f>IF(A107="","",ROW()-2-LOOKUP(2,1/((Overview!$L$3:$L$62&lt;=ROW()-2)*(Overview!$M$3:$M$62&gt;=ROW()-2)),Overview!$L$3:$L$62)+1)</f>
        <v/>
      </c>
      <c r="E107" s="113" t="str">
        <f>IF(A107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7" s="113" t="str">
        <f>IF(A107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7" s="113" t="str">
        <f>IF(A107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7" s="113" t="str">
        <f>IF(A107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7" s="113" t="str">
        <f>IF(A107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7" s="113" t="str">
        <f>IF(A107="","","image"&amp;D107&amp;LOOKUP(2,1/((Overview!$L$3:$L$62&lt;=ROW()-2)*(Overview!$M$3:$M$62&gt;=ROW()-2)),Overview!$X$3:$X$62))</f>
        <v/>
      </c>
      <c r="K107" s="113" t="str">
        <f t="shared" si="9"/>
        <v/>
      </c>
      <c r="L107" s="111" t="str">
        <f>IF(U107="","",IF(V107=1,U107,IF(X107=1,W107,LEFT(W107,LEN(W107)-LEN(LOOKUP(2,1/((Overview!$L$3:$L$62&lt;=ROW()-2)*(Overview!$M$3:$M$62&gt;=ROW()-2)),Overview!$X$3:$X$62)))&amp;IF(COUNTIF($W$3:W107,W107)=1,"","__"&amp;COUNTIF($W$3:W107,W107))&amp;LOOKUP(2,1/((Overview!$L$3:$L$62&lt;=ROW()-2)*(Overview!$M$3:$M$62&gt;=ROW()-2)),Overview!$X$3:$X$62))))</f>
        <v/>
      </c>
      <c r="M107" s="5" t="str">
        <f>IF(A107="","",LOOKUP(2,1/((Overview!$L$3:$L$62&lt;=ROW()-2)*(Overview!$M$3:$M$62&gt;=ROW()-2)),Overview!$U$3:$U$62))</f>
        <v/>
      </c>
      <c r="N107" s="5" t="str">
        <f>IF(A107="","",LOOKUP(2,1/((Overview!$L$3:$L$62&lt;=ROW()-2)*(Overview!$M$3:$M$62&gt;=ROW()-2)),Overview!$V$3:$V$62))</f>
        <v/>
      </c>
      <c r="O107" s="5" t="str">
        <f>IF(A107="","",LOOKUP(2,1/((Overview!$L$3:$L$62&lt;=ROW()-2)*(Overview!$M$3:$M$62&gt;=ROW()-2)),Overview!$B$3:$B$62))</f>
        <v/>
      </c>
      <c r="P107" s="14" t="str">
        <f>IF(A107="","",LOOKUP(2,1/((Overview!$L$3:$L$62&lt;=ROW()-2)*(Overview!$M$3:$M$62&gt;=ROW()-2)),Overview!$S$3:$S$62))</f>
        <v/>
      </c>
      <c r="Q107" s="5" t="str">
        <f>IF(A107="","",LOOKUP(2,1/((Overview!$L$3:$L$62&lt;=ROW()-2)*(Overview!$M$3:$M$62&gt;=ROW()-2)),Overview!$C$3:$C$62))</f>
        <v/>
      </c>
      <c r="R107" s="22" t="str">
        <f>IF(E107="","",IF(AND(I107&lt;&gt;"",LOOKUP(2,1/((Overview!$L$3:$L$62&lt;=ROW()-2)*(Overview!$M$3:$M$62&gt;=ROW()-2)),Overview!$Z$3:$Z$62)&lt;&gt;""),LEFT(E107,LEN(E107)-LEN(I107))&amp;LOOKUP(2,1/((Overview!$L$3:$L$62&lt;=ROW()-2)*(Overview!$M$3:$M$62&gt;=ROW()-2)),Overview!$Z$3:$Z$62)&amp;" "&amp;I107,E107)&amp;IF(AND(Q107="",LOOKUP(2,1/((Overview!$L$3:$L$62&lt;=ROW()-2)*(Overview!$M$3:$M$62&gt;=ROW()-2)),Overview!$W$3:$W$62)=""),"",", "&amp;IF(Q107&lt;&gt;"",Q107,"")&amp;IF(AND(Q107&lt;&gt;"",LOOKUP(2,1/((Overview!$L$3:$L$62&lt;=ROW()-2)*(Overview!$M$3:$M$62&gt;=ROW()-2)),Overview!$W$3:$W$62)&lt;&gt;""),"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7" t="str">
        <f t="shared" si="6"/>
        <v/>
      </c>
      <c r="U107" s="10" t="str">
        <f>IF(A107="","",O107&amp;IF(LOOKUP(2,1/((Overview!$L$3:$L$62&lt;=ROW()-2)*(Overview!$M$3:$M$62&gt;=ROW()-2)),Overview!$T$3:$T$62)&lt;&gt;"","_"&amp;LOOKUP(2,1/((Overview!$L$3:$L$62&lt;=ROW()-2)*(Overview!$M$3:$M$62&gt;=ROW()-2)),Overview!$T$3:$T$62),"")&amp;IF(Q107&lt;&gt;"","_"&amp;Q107,"")&amp;IF(E107&lt;&gt;"","_"&amp;E107,"")&amp;LOOKUP(2,1/((Overview!$L$3:$L$62&lt;=ROW()-2)*(Overview!$M$3:$M$62&gt;=ROW()-2)),Overview!$X$3:$X$62))</f>
        <v/>
      </c>
      <c r="V107" t="str">
        <f t="shared" si="7"/>
        <v/>
      </c>
      <c r="W107" t="str">
        <f>IF(U107="","",O107&amp;IF(LOOKUP(2,1/((Overview!$L$3:$L$62&lt;=ROW()-2)*(Overview!$M$3:$M$62&gt;=ROW()-2)),Overview!$T$3:$T$62)&lt;&gt;"","_"&amp;LOOKUP(2,1/((Overview!$L$3:$L$62&lt;=ROW()-2)*(Overview!$M$3:$M$62&gt;=ROW()-2)),Overview!$T$3:$T$62),"")&amp;"_"&amp;IF(LEFT(LOWER(TRIM(F107)),3)="set",TRIM(F107),"Set"&amp;TRIM(F107))&amp;IF(Q107&lt;&gt;"","_"&amp;Q107,"")&amp;IF(E107&lt;&gt;"","_"&amp;E107,"")&amp;LOOKUP(2,1/((Overview!$L$3:$L$62&lt;=ROW()-2)*(Overview!$M$3:$M$62&gt;=ROW()-2)),Overview!$X$3:$X$62))</f>
        <v/>
      </c>
      <c r="X107" t="str">
        <f t="shared" si="8"/>
        <v/>
      </c>
    </row>
    <row r="108" spans="1:24" ht="13.9" thickBot="1">
      <c r="A108" s="5" t="str">
        <f>IF(ROW()-2&gt;SUMIFS(Overview!$K$3:$K$62,Overview!$N$3:$N$62,"OK"),"",LOOKUP(2,1/((Overview!$L$3:$L$62&lt;=ROW()-2)*(Overview!$M$3:$M$62&gt;=ROW()-2)),Overview!$R$3:$R$62))</f>
        <v/>
      </c>
      <c r="B108" s="5" t="str">
        <f>IF(A108="","",LOOKUP(2,1/((Overview!$L$3:$L$62&lt;=ROW()-2)*(Overview!$M$3:$M$62&gt;=ROW()-2)),Overview!$O$3:$O$62))</f>
        <v/>
      </c>
      <c r="C108" s="5" t="str">
        <f>IF(A108="","",LOOKUP(2,1/((Overview!$L$3:$L$62&lt;=ROW()-2)*(Overview!$M$3:$M$62&gt;=ROW()-2)),Overview!$Y$3:$Y$62))</f>
        <v/>
      </c>
      <c r="D108" s="113" t="str">
        <f>IF(A108="","",ROW()-2-LOOKUP(2,1/((Overview!$L$3:$L$62&lt;=ROW()-2)*(Overview!$M$3:$M$62&gt;=ROW()-2)),Overview!$L$3:$L$62)+1)</f>
        <v/>
      </c>
      <c r="E108" s="113" t="str">
        <f>IF(A108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8" s="113" t="str">
        <f>IF(A108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8" s="113" t="str">
        <f>IF(A108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8" s="113" t="str">
        <f>IF(A108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8" s="113" t="str">
        <f>IF(A108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8" s="113" t="str">
        <f>IF(A108="","","image"&amp;D108&amp;LOOKUP(2,1/((Overview!$L$3:$L$62&lt;=ROW()-2)*(Overview!$M$3:$M$62&gt;=ROW()-2)),Overview!$X$3:$X$62))</f>
        <v/>
      </c>
      <c r="K108" s="113" t="str">
        <f t="shared" si="9"/>
        <v/>
      </c>
      <c r="L108" s="111" t="str">
        <f>IF(U108="","",IF(V108=1,U108,IF(X108=1,W108,LEFT(W108,LEN(W108)-LEN(LOOKUP(2,1/((Overview!$L$3:$L$62&lt;=ROW()-2)*(Overview!$M$3:$M$62&gt;=ROW()-2)),Overview!$X$3:$X$62)))&amp;IF(COUNTIF($W$3:W108,W108)=1,"","__"&amp;COUNTIF($W$3:W108,W108))&amp;LOOKUP(2,1/((Overview!$L$3:$L$62&lt;=ROW()-2)*(Overview!$M$3:$M$62&gt;=ROW()-2)),Overview!$X$3:$X$62))))</f>
        <v/>
      </c>
      <c r="M108" s="5" t="str">
        <f>IF(A108="","",LOOKUP(2,1/((Overview!$L$3:$L$62&lt;=ROW()-2)*(Overview!$M$3:$M$62&gt;=ROW()-2)),Overview!$U$3:$U$62))</f>
        <v/>
      </c>
      <c r="N108" s="5" t="str">
        <f>IF(A108="","",LOOKUP(2,1/((Overview!$L$3:$L$62&lt;=ROW()-2)*(Overview!$M$3:$M$62&gt;=ROW()-2)),Overview!$V$3:$V$62))</f>
        <v/>
      </c>
      <c r="O108" s="5" t="str">
        <f>IF(A108="","",LOOKUP(2,1/((Overview!$L$3:$L$62&lt;=ROW()-2)*(Overview!$M$3:$M$62&gt;=ROW()-2)),Overview!$B$3:$B$62))</f>
        <v/>
      </c>
      <c r="P108" s="14" t="str">
        <f>IF(A108="","",LOOKUP(2,1/((Overview!$L$3:$L$62&lt;=ROW()-2)*(Overview!$M$3:$M$62&gt;=ROW()-2)),Overview!$S$3:$S$62))</f>
        <v/>
      </c>
      <c r="Q108" s="5" t="str">
        <f>IF(A108="","",LOOKUP(2,1/((Overview!$L$3:$L$62&lt;=ROW()-2)*(Overview!$M$3:$M$62&gt;=ROW()-2)),Overview!$C$3:$C$62))</f>
        <v/>
      </c>
      <c r="R108" s="22" t="str">
        <f>IF(E108="","",IF(AND(I108&lt;&gt;"",LOOKUP(2,1/((Overview!$L$3:$L$62&lt;=ROW()-2)*(Overview!$M$3:$M$62&gt;=ROW()-2)),Overview!$Z$3:$Z$62)&lt;&gt;""),LEFT(E108,LEN(E108)-LEN(I108))&amp;LOOKUP(2,1/((Overview!$L$3:$L$62&lt;=ROW()-2)*(Overview!$M$3:$M$62&gt;=ROW()-2)),Overview!$Z$3:$Z$62)&amp;" "&amp;I108,E108)&amp;IF(AND(Q108="",LOOKUP(2,1/((Overview!$L$3:$L$62&lt;=ROW()-2)*(Overview!$M$3:$M$62&gt;=ROW()-2)),Overview!$W$3:$W$62)=""),"",", "&amp;IF(Q108&lt;&gt;"",Q108,"")&amp;IF(AND(Q108&lt;&gt;"",LOOKUP(2,1/((Overview!$L$3:$L$62&lt;=ROW()-2)*(Overview!$M$3:$M$62&gt;=ROW()-2)),Overview!$W$3:$W$62)&lt;&gt;""),"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8" t="str">
        <f t="shared" si="6"/>
        <v/>
      </c>
      <c r="U108" s="10" t="str">
        <f>IF(A108="","",O108&amp;IF(LOOKUP(2,1/((Overview!$L$3:$L$62&lt;=ROW()-2)*(Overview!$M$3:$M$62&gt;=ROW()-2)),Overview!$T$3:$T$62)&lt;&gt;"","_"&amp;LOOKUP(2,1/((Overview!$L$3:$L$62&lt;=ROW()-2)*(Overview!$M$3:$M$62&gt;=ROW()-2)),Overview!$T$3:$T$62),"")&amp;IF(Q108&lt;&gt;"","_"&amp;Q108,"")&amp;IF(E108&lt;&gt;"","_"&amp;E108,"")&amp;LOOKUP(2,1/((Overview!$L$3:$L$62&lt;=ROW()-2)*(Overview!$M$3:$M$62&gt;=ROW()-2)),Overview!$X$3:$X$62))</f>
        <v/>
      </c>
      <c r="V108" t="str">
        <f t="shared" si="7"/>
        <v/>
      </c>
      <c r="W108" t="str">
        <f>IF(U108="","",O108&amp;IF(LOOKUP(2,1/((Overview!$L$3:$L$62&lt;=ROW()-2)*(Overview!$M$3:$M$62&gt;=ROW()-2)),Overview!$T$3:$T$62)&lt;&gt;"","_"&amp;LOOKUP(2,1/((Overview!$L$3:$L$62&lt;=ROW()-2)*(Overview!$M$3:$M$62&gt;=ROW()-2)),Overview!$T$3:$T$62),"")&amp;"_"&amp;IF(LEFT(LOWER(TRIM(F108)),3)="set",TRIM(F108),"Set"&amp;TRIM(F108))&amp;IF(Q108&lt;&gt;"","_"&amp;Q108,"")&amp;IF(E108&lt;&gt;"","_"&amp;E108,"")&amp;LOOKUP(2,1/((Overview!$L$3:$L$62&lt;=ROW()-2)*(Overview!$M$3:$M$62&gt;=ROW()-2)),Overview!$X$3:$X$62))</f>
        <v/>
      </c>
      <c r="X108" t="str">
        <f t="shared" si="8"/>
        <v/>
      </c>
    </row>
    <row r="109" spans="1:24" ht="13.9" thickBot="1">
      <c r="A109" s="5" t="str">
        <f>IF(ROW()-2&gt;SUMIFS(Overview!$K$3:$K$62,Overview!$N$3:$N$62,"OK"),"",LOOKUP(2,1/((Overview!$L$3:$L$62&lt;=ROW()-2)*(Overview!$M$3:$M$62&gt;=ROW()-2)),Overview!$R$3:$R$62))</f>
        <v/>
      </c>
      <c r="B109" s="5" t="str">
        <f>IF(A109="","",LOOKUP(2,1/((Overview!$L$3:$L$62&lt;=ROW()-2)*(Overview!$M$3:$M$62&gt;=ROW()-2)),Overview!$O$3:$O$62))</f>
        <v/>
      </c>
      <c r="C109" s="5" t="str">
        <f>IF(A109="","",LOOKUP(2,1/((Overview!$L$3:$L$62&lt;=ROW()-2)*(Overview!$M$3:$M$62&gt;=ROW()-2)),Overview!$Y$3:$Y$62))</f>
        <v/>
      </c>
      <c r="D109" s="113" t="str">
        <f>IF(A109="","",ROW()-2-LOOKUP(2,1/((Overview!$L$3:$L$62&lt;=ROW()-2)*(Overview!$M$3:$M$62&gt;=ROW()-2)),Overview!$L$3:$L$62)+1)</f>
        <v/>
      </c>
      <c r="E109" s="113" t="str">
        <f>IF(A109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09" s="113" t="str">
        <f>IF(A109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09" s="113" t="str">
        <f>IF(A109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09" s="113" t="str">
        <f>IF(A109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09" s="113" t="str">
        <f>IF(A109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09" s="113" t="str">
        <f>IF(A109="","","image"&amp;D109&amp;LOOKUP(2,1/((Overview!$L$3:$L$62&lt;=ROW()-2)*(Overview!$M$3:$M$62&gt;=ROW()-2)),Overview!$X$3:$X$62))</f>
        <v/>
      </c>
      <c r="K109" s="113" t="str">
        <f t="shared" si="9"/>
        <v/>
      </c>
      <c r="L109" s="111" t="str">
        <f>IF(U109="","",IF(V109=1,U109,IF(X109=1,W109,LEFT(W109,LEN(W109)-LEN(LOOKUP(2,1/((Overview!$L$3:$L$62&lt;=ROW()-2)*(Overview!$M$3:$M$62&gt;=ROW()-2)),Overview!$X$3:$X$62)))&amp;IF(COUNTIF($W$3:W109,W109)=1,"","__"&amp;COUNTIF($W$3:W109,W109))&amp;LOOKUP(2,1/((Overview!$L$3:$L$62&lt;=ROW()-2)*(Overview!$M$3:$M$62&gt;=ROW()-2)),Overview!$X$3:$X$62))))</f>
        <v/>
      </c>
      <c r="M109" s="5" t="str">
        <f>IF(A109="","",LOOKUP(2,1/((Overview!$L$3:$L$62&lt;=ROW()-2)*(Overview!$M$3:$M$62&gt;=ROW()-2)),Overview!$U$3:$U$62))</f>
        <v/>
      </c>
      <c r="N109" s="5" t="str">
        <f>IF(A109="","",LOOKUP(2,1/((Overview!$L$3:$L$62&lt;=ROW()-2)*(Overview!$M$3:$M$62&gt;=ROW()-2)),Overview!$V$3:$V$62))</f>
        <v/>
      </c>
      <c r="O109" s="5" t="str">
        <f>IF(A109="","",LOOKUP(2,1/((Overview!$L$3:$L$62&lt;=ROW()-2)*(Overview!$M$3:$M$62&gt;=ROW()-2)),Overview!$B$3:$B$62))</f>
        <v/>
      </c>
      <c r="P109" s="14" t="str">
        <f>IF(A109="","",LOOKUP(2,1/((Overview!$L$3:$L$62&lt;=ROW()-2)*(Overview!$M$3:$M$62&gt;=ROW()-2)),Overview!$S$3:$S$62))</f>
        <v/>
      </c>
      <c r="Q109" s="5" t="str">
        <f>IF(A109="","",LOOKUP(2,1/((Overview!$L$3:$L$62&lt;=ROW()-2)*(Overview!$M$3:$M$62&gt;=ROW()-2)),Overview!$C$3:$C$62))</f>
        <v/>
      </c>
      <c r="R109" s="22" t="str">
        <f>IF(E109="","",IF(AND(I109&lt;&gt;"",LOOKUP(2,1/((Overview!$L$3:$L$62&lt;=ROW()-2)*(Overview!$M$3:$M$62&gt;=ROW()-2)),Overview!$Z$3:$Z$62)&lt;&gt;""),LEFT(E109,LEN(E109)-LEN(I109))&amp;LOOKUP(2,1/((Overview!$L$3:$L$62&lt;=ROW()-2)*(Overview!$M$3:$M$62&gt;=ROW()-2)),Overview!$Z$3:$Z$62)&amp;" "&amp;I109,E109)&amp;IF(AND(Q109="",LOOKUP(2,1/((Overview!$L$3:$L$62&lt;=ROW()-2)*(Overview!$M$3:$M$62&gt;=ROW()-2)),Overview!$W$3:$W$62)=""),"",", "&amp;IF(Q109&lt;&gt;"",Q109,"")&amp;IF(AND(Q109&lt;&gt;"",LOOKUP(2,1/((Overview!$L$3:$L$62&lt;=ROW()-2)*(Overview!$M$3:$M$62&gt;=ROW()-2)),Overview!$W$3:$W$62)&lt;&gt;""),"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09" t="str">
        <f t="shared" si="6"/>
        <v/>
      </c>
      <c r="U109" s="10" t="str">
        <f>IF(A109="","",O109&amp;IF(LOOKUP(2,1/((Overview!$L$3:$L$62&lt;=ROW()-2)*(Overview!$M$3:$M$62&gt;=ROW()-2)),Overview!$T$3:$T$62)&lt;&gt;"","_"&amp;LOOKUP(2,1/((Overview!$L$3:$L$62&lt;=ROW()-2)*(Overview!$M$3:$M$62&gt;=ROW()-2)),Overview!$T$3:$T$62),"")&amp;IF(Q109&lt;&gt;"","_"&amp;Q109,"")&amp;IF(E109&lt;&gt;"","_"&amp;E109,"")&amp;LOOKUP(2,1/((Overview!$L$3:$L$62&lt;=ROW()-2)*(Overview!$M$3:$M$62&gt;=ROW()-2)),Overview!$X$3:$X$62))</f>
        <v/>
      </c>
      <c r="V109" t="str">
        <f t="shared" si="7"/>
        <v/>
      </c>
      <c r="W109" t="str">
        <f>IF(U109="","",O109&amp;IF(LOOKUP(2,1/((Overview!$L$3:$L$62&lt;=ROW()-2)*(Overview!$M$3:$M$62&gt;=ROW()-2)),Overview!$T$3:$T$62)&lt;&gt;"","_"&amp;LOOKUP(2,1/((Overview!$L$3:$L$62&lt;=ROW()-2)*(Overview!$M$3:$M$62&gt;=ROW()-2)),Overview!$T$3:$T$62),"")&amp;"_"&amp;IF(LEFT(LOWER(TRIM(F109)),3)="set",TRIM(F109),"Set"&amp;TRIM(F109))&amp;IF(Q109&lt;&gt;"","_"&amp;Q109,"")&amp;IF(E109&lt;&gt;"","_"&amp;E109,"")&amp;LOOKUP(2,1/((Overview!$L$3:$L$62&lt;=ROW()-2)*(Overview!$M$3:$M$62&gt;=ROW()-2)),Overview!$X$3:$X$62))</f>
        <v/>
      </c>
      <c r="X109" t="str">
        <f t="shared" si="8"/>
        <v/>
      </c>
    </row>
    <row r="110" spans="1:24" ht="13.9" thickBot="1">
      <c r="A110" s="5" t="str">
        <f>IF(ROW()-2&gt;SUMIFS(Overview!$K$3:$K$62,Overview!$N$3:$N$62,"OK"),"",LOOKUP(2,1/((Overview!$L$3:$L$62&lt;=ROW()-2)*(Overview!$M$3:$M$62&gt;=ROW()-2)),Overview!$R$3:$R$62))</f>
        <v/>
      </c>
      <c r="B110" s="5" t="str">
        <f>IF(A110="","",LOOKUP(2,1/((Overview!$L$3:$L$62&lt;=ROW()-2)*(Overview!$M$3:$M$62&gt;=ROW()-2)),Overview!$O$3:$O$62))</f>
        <v/>
      </c>
      <c r="C110" s="5" t="str">
        <f>IF(A110="","",LOOKUP(2,1/((Overview!$L$3:$L$62&lt;=ROW()-2)*(Overview!$M$3:$M$62&gt;=ROW()-2)),Overview!$Y$3:$Y$62))</f>
        <v/>
      </c>
      <c r="D110" s="113" t="str">
        <f>IF(A110="","",ROW()-2-LOOKUP(2,1/((Overview!$L$3:$L$62&lt;=ROW()-2)*(Overview!$M$3:$M$62&gt;=ROW()-2)),Overview!$L$3:$L$62)+1)</f>
        <v/>
      </c>
      <c r="E110" s="113" t="str">
        <f>IF(A110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0" s="113" t="str">
        <f>IF(A110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0" s="113" t="str">
        <f>IF(A110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0" s="113" t="str">
        <f>IF(A110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0" s="113" t="str">
        <f>IF(A110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0" s="113" t="str">
        <f>IF(A110="","","image"&amp;D110&amp;LOOKUP(2,1/((Overview!$L$3:$L$62&lt;=ROW()-2)*(Overview!$M$3:$M$62&gt;=ROW()-2)),Overview!$X$3:$X$62))</f>
        <v/>
      </c>
      <c r="K110" s="113" t="str">
        <f t="shared" si="9"/>
        <v/>
      </c>
      <c r="L110" s="111" t="str">
        <f>IF(U110="","",IF(V110=1,U110,IF(X110=1,W110,LEFT(W110,LEN(W110)-LEN(LOOKUP(2,1/((Overview!$L$3:$L$62&lt;=ROW()-2)*(Overview!$M$3:$M$62&gt;=ROW()-2)),Overview!$X$3:$X$62)))&amp;IF(COUNTIF($W$3:W110,W110)=1,"","__"&amp;COUNTIF($W$3:W110,W110))&amp;LOOKUP(2,1/((Overview!$L$3:$L$62&lt;=ROW()-2)*(Overview!$M$3:$M$62&gt;=ROW()-2)),Overview!$X$3:$X$62))))</f>
        <v/>
      </c>
      <c r="M110" s="5" t="str">
        <f>IF(A110="","",LOOKUP(2,1/((Overview!$L$3:$L$62&lt;=ROW()-2)*(Overview!$M$3:$M$62&gt;=ROW()-2)),Overview!$U$3:$U$62))</f>
        <v/>
      </c>
      <c r="N110" s="5" t="str">
        <f>IF(A110="","",LOOKUP(2,1/((Overview!$L$3:$L$62&lt;=ROW()-2)*(Overview!$M$3:$M$62&gt;=ROW()-2)),Overview!$V$3:$V$62))</f>
        <v/>
      </c>
      <c r="O110" s="5" t="str">
        <f>IF(A110="","",LOOKUP(2,1/((Overview!$L$3:$L$62&lt;=ROW()-2)*(Overview!$M$3:$M$62&gt;=ROW()-2)),Overview!$B$3:$B$62))</f>
        <v/>
      </c>
      <c r="P110" s="14" t="str">
        <f>IF(A110="","",LOOKUP(2,1/((Overview!$L$3:$L$62&lt;=ROW()-2)*(Overview!$M$3:$M$62&gt;=ROW()-2)),Overview!$S$3:$S$62))</f>
        <v/>
      </c>
      <c r="Q110" s="5" t="str">
        <f>IF(A110="","",LOOKUP(2,1/((Overview!$L$3:$L$62&lt;=ROW()-2)*(Overview!$M$3:$M$62&gt;=ROW()-2)),Overview!$C$3:$C$62))</f>
        <v/>
      </c>
      <c r="R110" s="22" t="str">
        <f>IF(E110="","",IF(AND(I110&lt;&gt;"",LOOKUP(2,1/((Overview!$L$3:$L$62&lt;=ROW()-2)*(Overview!$M$3:$M$62&gt;=ROW()-2)),Overview!$Z$3:$Z$62)&lt;&gt;""),LEFT(E110,LEN(E110)-LEN(I110))&amp;LOOKUP(2,1/((Overview!$L$3:$L$62&lt;=ROW()-2)*(Overview!$M$3:$M$62&gt;=ROW()-2)),Overview!$Z$3:$Z$62)&amp;" "&amp;I110,E110)&amp;IF(AND(Q110="",LOOKUP(2,1/((Overview!$L$3:$L$62&lt;=ROW()-2)*(Overview!$M$3:$M$62&gt;=ROW()-2)),Overview!$W$3:$W$62)=""),"",", "&amp;IF(Q110&lt;&gt;"",Q110,"")&amp;IF(AND(Q110&lt;&gt;"",LOOKUP(2,1/((Overview!$L$3:$L$62&lt;=ROW()-2)*(Overview!$M$3:$M$62&gt;=ROW()-2)),Overview!$W$3:$W$62)&lt;&gt;""),"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0" t="str">
        <f t="shared" si="6"/>
        <v/>
      </c>
      <c r="U110" s="10" t="str">
        <f>IF(A110="","",O110&amp;IF(LOOKUP(2,1/((Overview!$L$3:$L$62&lt;=ROW()-2)*(Overview!$M$3:$M$62&gt;=ROW()-2)),Overview!$T$3:$T$62)&lt;&gt;"","_"&amp;LOOKUP(2,1/((Overview!$L$3:$L$62&lt;=ROW()-2)*(Overview!$M$3:$M$62&gt;=ROW()-2)),Overview!$T$3:$T$62),"")&amp;IF(Q110&lt;&gt;"","_"&amp;Q110,"")&amp;IF(E110&lt;&gt;"","_"&amp;E110,"")&amp;LOOKUP(2,1/((Overview!$L$3:$L$62&lt;=ROW()-2)*(Overview!$M$3:$M$62&gt;=ROW()-2)),Overview!$X$3:$X$62))</f>
        <v/>
      </c>
      <c r="V110" t="str">
        <f t="shared" si="7"/>
        <v/>
      </c>
      <c r="W110" t="str">
        <f>IF(U110="","",O110&amp;IF(LOOKUP(2,1/((Overview!$L$3:$L$62&lt;=ROW()-2)*(Overview!$M$3:$M$62&gt;=ROW()-2)),Overview!$T$3:$T$62)&lt;&gt;"","_"&amp;LOOKUP(2,1/((Overview!$L$3:$L$62&lt;=ROW()-2)*(Overview!$M$3:$M$62&gt;=ROW()-2)),Overview!$T$3:$T$62),"")&amp;"_"&amp;IF(LEFT(LOWER(TRIM(F110)),3)="set",TRIM(F110),"Set"&amp;TRIM(F110))&amp;IF(Q110&lt;&gt;"","_"&amp;Q110,"")&amp;IF(E110&lt;&gt;"","_"&amp;E110,"")&amp;LOOKUP(2,1/((Overview!$L$3:$L$62&lt;=ROW()-2)*(Overview!$M$3:$M$62&gt;=ROW()-2)),Overview!$X$3:$X$62))</f>
        <v/>
      </c>
      <c r="X110" t="str">
        <f t="shared" si="8"/>
        <v/>
      </c>
    </row>
    <row r="111" spans="1:24" ht="13.9" thickBot="1">
      <c r="A111" s="5" t="str">
        <f>IF(ROW()-2&gt;SUMIFS(Overview!$K$3:$K$62,Overview!$N$3:$N$62,"OK"),"",LOOKUP(2,1/((Overview!$L$3:$L$62&lt;=ROW()-2)*(Overview!$M$3:$M$62&gt;=ROW()-2)),Overview!$R$3:$R$62))</f>
        <v/>
      </c>
      <c r="B111" s="5" t="str">
        <f>IF(A111="","",LOOKUP(2,1/((Overview!$L$3:$L$62&lt;=ROW()-2)*(Overview!$M$3:$M$62&gt;=ROW()-2)),Overview!$O$3:$O$62))</f>
        <v/>
      </c>
      <c r="C111" s="5" t="str">
        <f>IF(A111="","",LOOKUP(2,1/((Overview!$L$3:$L$62&lt;=ROW()-2)*(Overview!$M$3:$M$62&gt;=ROW()-2)),Overview!$Y$3:$Y$62))</f>
        <v/>
      </c>
      <c r="D111" s="113" t="str">
        <f>IF(A111="","",ROW()-2-LOOKUP(2,1/((Overview!$L$3:$L$62&lt;=ROW()-2)*(Overview!$M$3:$M$62&gt;=ROW()-2)),Overview!$L$3:$L$62)+1)</f>
        <v/>
      </c>
      <c r="E111" s="113" t="str">
        <f>IF(A111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1" s="113" t="str">
        <f>IF(A111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1" s="113" t="str">
        <f>IF(A111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1" s="113" t="str">
        <f>IF(A111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1" s="113" t="str">
        <f>IF(A111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1" s="113" t="str">
        <f>IF(A111="","","image"&amp;D111&amp;LOOKUP(2,1/((Overview!$L$3:$L$62&lt;=ROW()-2)*(Overview!$M$3:$M$62&gt;=ROW()-2)),Overview!$X$3:$X$62))</f>
        <v/>
      </c>
      <c r="K111" s="113" t="str">
        <f t="shared" si="9"/>
        <v/>
      </c>
      <c r="L111" s="111" t="str">
        <f>IF(U111="","",IF(V111=1,U111,IF(X111=1,W111,LEFT(W111,LEN(W111)-LEN(LOOKUP(2,1/((Overview!$L$3:$L$62&lt;=ROW()-2)*(Overview!$M$3:$M$62&gt;=ROW()-2)),Overview!$X$3:$X$62)))&amp;IF(COUNTIF($W$3:W111,W111)=1,"","__"&amp;COUNTIF($W$3:W111,W111))&amp;LOOKUP(2,1/((Overview!$L$3:$L$62&lt;=ROW()-2)*(Overview!$M$3:$M$62&gt;=ROW()-2)),Overview!$X$3:$X$62))))</f>
        <v/>
      </c>
      <c r="M111" s="5" t="str">
        <f>IF(A111="","",LOOKUP(2,1/((Overview!$L$3:$L$62&lt;=ROW()-2)*(Overview!$M$3:$M$62&gt;=ROW()-2)),Overview!$U$3:$U$62))</f>
        <v/>
      </c>
      <c r="N111" s="5" t="str">
        <f>IF(A111="","",LOOKUP(2,1/((Overview!$L$3:$L$62&lt;=ROW()-2)*(Overview!$M$3:$M$62&gt;=ROW()-2)),Overview!$V$3:$V$62))</f>
        <v/>
      </c>
      <c r="O111" s="5" t="str">
        <f>IF(A111="","",LOOKUP(2,1/((Overview!$L$3:$L$62&lt;=ROW()-2)*(Overview!$M$3:$M$62&gt;=ROW()-2)),Overview!$B$3:$B$62))</f>
        <v/>
      </c>
      <c r="P111" s="14" t="str">
        <f>IF(A111="","",LOOKUP(2,1/((Overview!$L$3:$L$62&lt;=ROW()-2)*(Overview!$M$3:$M$62&gt;=ROW()-2)),Overview!$S$3:$S$62))</f>
        <v/>
      </c>
      <c r="Q111" s="5" t="str">
        <f>IF(A111="","",LOOKUP(2,1/((Overview!$L$3:$L$62&lt;=ROW()-2)*(Overview!$M$3:$M$62&gt;=ROW()-2)),Overview!$C$3:$C$62))</f>
        <v/>
      </c>
      <c r="R111" s="22" t="str">
        <f>IF(E111="","",IF(AND(I111&lt;&gt;"",LOOKUP(2,1/((Overview!$L$3:$L$62&lt;=ROW()-2)*(Overview!$M$3:$M$62&gt;=ROW()-2)),Overview!$Z$3:$Z$62)&lt;&gt;""),LEFT(E111,LEN(E111)-LEN(I111))&amp;LOOKUP(2,1/((Overview!$L$3:$L$62&lt;=ROW()-2)*(Overview!$M$3:$M$62&gt;=ROW()-2)),Overview!$Z$3:$Z$62)&amp;" "&amp;I111,E111)&amp;IF(AND(Q111="",LOOKUP(2,1/((Overview!$L$3:$L$62&lt;=ROW()-2)*(Overview!$M$3:$M$62&gt;=ROW()-2)),Overview!$W$3:$W$62)=""),"",", "&amp;IF(Q111&lt;&gt;"",Q111,"")&amp;IF(AND(Q111&lt;&gt;"",LOOKUP(2,1/((Overview!$L$3:$L$62&lt;=ROW()-2)*(Overview!$M$3:$M$62&gt;=ROW()-2)),Overview!$W$3:$W$62)&lt;&gt;""),"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1" t="str">
        <f t="shared" si="6"/>
        <v/>
      </c>
      <c r="U111" s="10" t="str">
        <f>IF(A111="","",O111&amp;IF(LOOKUP(2,1/((Overview!$L$3:$L$62&lt;=ROW()-2)*(Overview!$M$3:$M$62&gt;=ROW()-2)),Overview!$T$3:$T$62)&lt;&gt;"","_"&amp;LOOKUP(2,1/((Overview!$L$3:$L$62&lt;=ROW()-2)*(Overview!$M$3:$M$62&gt;=ROW()-2)),Overview!$T$3:$T$62),"")&amp;IF(Q111&lt;&gt;"","_"&amp;Q111,"")&amp;IF(E111&lt;&gt;"","_"&amp;E111,"")&amp;LOOKUP(2,1/((Overview!$L$3:$L$62&lt;=ROW()-2)*(Overview!$M$3:$M$62&gt;=ROW()-2)),Overview!$X$3:$X$62))</f>
        <v/>
      </c>
      <c r="V111" t="str">
        <f t="shared" si="7"/>
        <v/>
      </c>
      <c r="W111" t="str">
        <f>IF(U111="","",O111&amp;IF(LOOKUP(2,1/((Overview!$L$3:$L$62&lt;=ROW()-2)*(Overview!$M$3:$M$62&gt;=ROW()-2)),Overview!$T$3:$T$62)&lt;&gt;"","_"&amp;LOOKUP(2,1/((Overview!$L$3:$L$62&lt;=ROW()-2)*(Overview!$M$3:$M$62&gt;=ROW()-2)),Overview!$T$3:$T$62),"")&amp;"_"&amp;IF(LEFT(LOWER(TRIM(F111)),3)="set",TRIM(F111),"Set"&amp;TRIM(F111))&amp;IF(Q111&lt;&gt;"","_"&amp;Q111,"")&amp;IF(E111&lt;&gt;"","_"&amp;E111,"")&amp;LOOKUP(2,1/((Overview!$L$3:$L$62&lt;=ROW()-2)*(Overview!$M$3:$M$62&gt;=ROW()-2)),Overview!$X$3:$X$62))</f>
        <v/>
      </c>
      <c r="X111" t="str">
        <f t="shared" si="8"/>
        <v/>
      </c>
    </row>
    <row r="112" spans="1:24" ht="13.9" thickBot="1">
      <c r="A112" s="5" t="str">
        <f>IF(ROW()-2&gt;SUMIFS(Overview!$K$3:$K$62,Overview!$N$3:$N$62,"OK"),"",LOOKUP(2,1/((Overview!$L$3:$L$62&lt;=ROW()-2)*(Overview!$M$3:$M$62&gt;=ROW()-2)),Overview!$R$3:$R$62))</f>
        <v/>
      </c>
      <c r="B112" s="5" t="str">
        <f>IF(A112="","",LOOKUP(2,1/((Overview!$L$3:$L$62&lt;=ROW()-2)*(Overview!$M$3:$M$62&gt;=ROW()-2)),Overview!$O$3:$O$62))</f>
        <v/>
      </c>
      <c r="C112" s="5" t="str">
        <f>IF(A112="","",LOOKUP(2,1/((Overview!$L$3:$L$62&lt;=ROW()-2)*(Overview!$M$3:$M$62&gt;=ROW()-2)),Overview!$Y$3:$Y$62))</f>
        <v/>
      </c>
      <c r="D112" s="113" t="str">
        <f>IF(A112="","",ROW()-2-LOOKUP(2,1/((Overview!$L$3:$L$62&lt;=ROW()-2)*(Overview!$M$3:$M$62&gt;=ROW()-2)),Overview!$L$3:$L$62)+1)</f>
        <v/>
      </c>
      <c r="E112" s="113" t="str">
        <f>IF(A112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2" s="113" t="str">
        <f>IF(A112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2" s="113" t="str">
        <f>IF(A112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2" s="113" t="str">
        <f>IF(A112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2" s="113" t="str">
        <f>IF(A112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2" s="113" t="str">
        <f>IF(A112="","","image"&amp;D112&amp;LOOKUP(2,1/((Overview!$L$3:$L$62&lt;=ROW()-2)*(Overview!$M$3:$M$62&gt;=ROW()-2)),Overview!$X$3:$X$62))</f>
        <v/>
      </c>
      <c r="K112" s="113" t="str">
        <f t="shared" si="9"/>
        <v/>
      </c>
      <c r="L112" s="111" t="str">
        <f>IF(U112="","",IF(V112=1,U112,IF(X112=1,W112,LEFT(W112,LEN(W112)-LEN(LOOKUP(2,1/((Overview!$L$3:$L$62&lt;=ROW()-2)*(Overview!$M$3:$M$62&gt;=ROW()-2)),Overview!$X$3:$X$62)))&amp;IF(COUNTIF($W$3:W112,W112)=1,"","__"&amp;COUNTIF($W$3:W112,W112))&amp;LOOKUP(2,1/((Overview!$L$3:$L$62&lt;=ROW()-2)*(Overview!$M$3:$M$62&gt;=ROW()-2)),Overview!$X$3:$X$62))))</f>
        <v/>
      </c>
      <c r="M112" s="5" t="str">
        <f>IF(A112="","",LOOKUP(2,1/((Overview!$L$3:$L$62&lt;=ROW()-2)*(Overview!$M$3:$M$62&gt;=ROW()-2)),Overview!$U$3:$U$62))</f>
        <v/>
      </c>
      <c r="N112" s="5" t="str">
        <f>IF(A112="","",LOOKUP(2,1/((Overview!$L$3:$L$62&lt;=ROW()-2)*(Overview!$M$3:$M$62&gt;=ROW()-2)),Overview!$V$3:$V$62))</f>
        <v/>
      </c>
      <c r="O112" s="5" t="str">
        <f>IF(A112="","",LOOKUP(2,1/((Overview!$L$3:$L$62&lt;=ROW()-2)*(Overview!$M$3:$M$62&gt;=ROW()-2)),Overview!$B$3:$B$62))</f>
        <v/>
      </c>
      <c r="P112" s="14" t="str">
        <f>IF(A112="","",LOOKUP(2,1/((Overview!$L$3:$L$62&lt;=ROW()-2)*(Overview!$M$3:$M$62&gt;=ROW()-2)),Overview!$S$3:$S$62))</f>
        <v/>
      </c>
      <c r="Q112" s="5" t="str">
        <f>IF(A112="","",LOOKUP(2,1/((Overview!$L$3:$L$62&lt;=ROW()-2)*(Overview!$M$3:$M$62&gt;=ROW()-2)),Overview!$C$3:$C$62))</f>
        <v/>
      </c>
      <c r="R112" s="22" t="str">
        <f>IF(E112="","",IF(AND(I112&lt;&gt;"",LOOKUP(2,1/((Overview!$L$3:$L$62&lt;=ROW()-2)*(Overview!$M$3:$M$62&gt;=ROW()-2)),Overview!$Z$3:$Z$62)&lt;&gt;""),LEFT(E112,LEN(E112)-LEN(I112))&amp;LOOKUP(2,1/((Overview!$L$3:$L$62&lt;=ROW()-2)*(Overview!$M$3:$M$62&gt;=ROW()-2)),Overview!$Z$3:$Z$62)&amp;" "&amp;I112,E112)&amp;IF(AND(Q112="",LOOKUP(2,1/((Overview!$L$3:$L$62&lt;=ROW()-2)*(Overview!$M$3:$M$62&gt;=ROW()-2)),Overview!$W$3:$W$62)=""),"",", "&amp;IF(Q112&lt;&gt;"",Q112,"")&amp;IF(AND(Q112&lt;&gt;"",LOOKUP(2,1/((Overview!$L$3:$L$62&lt;=ROW()-2)*(Overview!$M$3:$M$62&gt;=ROW()-2)),Overview!$W$3:$W$62)&lt;&gt;""),"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2" t="str">
        <f t="shared" si="6"/>
        <v/>
      </c>
      <c r="U112" s="10" t="str">
        <f>IF(A112="","",O112&amp;IF(LOOKUP(2,1/((Overview!$L$3:$L$62&lt;=ROW()-2)*(Overview!$M$3:$M$62&gt;=ROW()-2)),Overview!$T$3:$T$62)&lt;&gt;"","_"&amp;LOOKUP(2,1/((Overview!$L$3:$L$62&lt;=ROW()-2)*(Overview!$M$3:$M$62&gt;=ROW()-2)),Overview!$T$3:$T$62),"")&amp;IF(Q112&lt;&gt;"","_"&amp;Q112,"")&amp;IF(E112&lt;&gt;"","_"&amp;E112,"")&amp;LOOKUP(2,1/((Overview!$L$3:$L$62&lt;=ROW()-2)*(Overview!$M$3:$M$62&gt;=ROW()-2)),Overview!$X$3:$X$62))</f>
        <v/>
      </c>
      <c r="V112" t="str">
        <f t="shared" si="7"/>
        <v/>
      </c>
      <c r="W112" t="str">
        <f>IF(U112="","",O112&amp;IF(LOOKUP(2,1/((Overview!$L$3:$L$62&lt;=ROW()-2)*(Overview!$M$3:$M$62&gt;=ROW()-2)),Overview!$T$3:$T$62)&lt;&gt;"","_"&amp;LOOKUP(2,1/((Overview!$L$3:$L$62&lt;=ROW()-2)*(Overview!$M$3:$M$62&gt;=ROW()-2)),Overview!$T$3:$T$62),"")&amp;"_"&amp;IF(LEFT(LOWER(TRIM(F112)),3)="set",TRIM(F112),"Set"&amp;TRIM(F112))&amp;IF(Q112&lt;&gt;"","_"&amp;Q112,"")&amp;IF(E112&lt;&gt;"","_"&amp;E112,"")&amp;LOOKUP(2,1/((Overview!$L$3:$L$62&lt;=ROW()-2)*(Overview!$M$3:$M$62&gt;=ROW()-2)),Overview!$X$3:$X$62))</f>
        <v/>
      </c>
      <c r="X112" t="str">
        <f t="shared" si="8"/>
        <v/>
      </c>
    </row>
    <row r="113" spans="1:24" ht="13.9" thickBot="1">
      <c r="A113" s="5" t="str">
        <f>IF(ROW()-2&gt;SUMIFS(Overview!$K$3:$K$62,Overview!$N$3:$N$62,"OK"),"",LOOKUP(2,1/((Overview!$L$3:$L$62&lt;=ROW()-2)*(Overview!$M$3:$M$62&gt;=ROW()-2)),Overview!$R$3:$R$62))</f>
        <v/>
      </c>
      <c r="B113" s="5" t="str">
        <f>IF(A113="","",LOOKUP(2,1/((Overview!$L$3:$L$62&lt;=ROW()-2)*(Overview!$M$3:$M$62&gt;=ROW()-2)),Overview!$O$3:$O$62))</f>
        <v/>
      </c>
      <c r="C113" s="5" t="str">
        <f>IF(A113="","",LOOKUP(2,1/((Overview!$L$3:$L$62&lt;=ROW()-2)*(Overview!$M$3:$M$62&gt;=ROW()-2)),Overview!$Y$3:$Y$62))</f>
        <v/>
      </c>
      <c r="D113" s="113" t="str">
        <f>IF(A113="","",ROW()-2-LOOKUP(2,1/((Overview!$L$3:$L$62&lt;=ROW()-2)*(Overview!$M$3:$M$62&gt;=ROW()-2)),Overview!$L$3:$L$62)+1)</f>
        <v/>
      </c>
      <c r="E113" s="113" t="str">
        <f>IF(A113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3" s="113" t="str">
        <f>IF(A113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3" s="113" t="str">
        <f>IF(A113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3" s="113" t="str">
        <f>IF(A113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3" s="113" t="str">
        <f>IF(A113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3" s="113" t="str">
        <f>IF(A113="","","image"&amp;D113&amp;LOOKUP(2,1/((Overview!$L$3:$L$62&lt;=ROW()-2)*(Overview!$M$3:$M$62&gt;=ROW()-2)),Overview!$X$3:$X$62))</f>
        <v/>
      </c>
      <c r="K113" s="113" t="str">
        <f t="shared" si="9"/>
        <v/>
      </c>
      <c r="L113" s="111" t="str">
        <f>IF(U113="","",IF(V113=1,U113,IF(X113=1,W113,LEFT(W113,LEN(W113)-LEN(LOOKUP(2,1/((Overview!$L$3:$L$62&lt;=ROW()-2)*(Overview!$M$3:$M$62&gt;=ROW()-2)),Overview!$X$3:$X$62)))&amp;IF(COUNTIF($W$3:W113,W113)=1,"","__"&amp;COUNTIF($W$3:W113,W113))&amp;LOOKUP(2,1/((Overview!$L$3:$L$62&lt;=ROW()-2)*(Overview!$M$3:$M$62&gt;=ROW()-2)),Overview!$X$3:$X$62))))</f>
        <v/>
      </c>
      <c r="M113" s="5" t="str">
        <f>IF(A113="","",LOOKUP(2,1/((Overview!$L$3:$L$62&lt;=ROW()-2)*(Overview!$M$3:$M$62&gt;=ROW()-2)),Overview!$U$3:$U$62))</f>
        <v/>
      </c>
      <c r="N113" s="5" t="str">
        <f>IF(A113="","",LOOKUP(2,1/((Overview!$L$3:$L$62&lt;=ROW()-2)*(Overview!$M$3:$M$62&gt;=ROW()-2)),Overview!$V$3:$V$62))</f>
        <v/>
      </c>
      <c r="O113" s="5" t="str">
        <f>IF(A113="","",LOOKUP(2,1/((Overview!$L$3:$L$62&lt;=ROW()-2)*(Overview!$M$3:$M$62&gt;=ROW()-2)),Overview!$B$3:$B$62))</f>
        <v/>
      </c>
      <c r="P113" s="14" t="str">
        <f>IF(A113="","",LOOKUP(2,1/((Overview!$L$3:$L$62&lt;=ROW()-2)*(Overview!$M$3:$M$62&gt;=ROW()-2)),Overview!$S$3:$S$62))</f>
        <v/>
      </c>
      <c r="Q113" s="5" t="str">
        <f>IF(A113="","",LOOKUP(2,1/((Overview!$L$3:$L$62&lt;=ROW()-2)*(Overview!$M$3:$M$62&gt;=ROW()-2)),Overview!$C$3:$C$62))</f>
        <v/>
      </c>
      <c r="R113" s="22" t="str">
        <f>IF(E113="","",IF(AND(I113&lt;&gt;"",LOOKUP(2,1/((Overview!$L$3:$L$62&lt;=ROW()-2)*(Overview!$M$3:$M$62&gt;=ROW()-2)),Overview!$Z$3:$Z$62)&lt;&gt;""),LEFT(E113,LEN(E113)-LEN(I113))&amp;LOOKUP(2,1/((Overview!$L$3:$L$62&lt;=ROW()-2)*(Overview!$M$3:$M$62&gt;=ROW()-2)),Overview!$Z$3:$Z$62)&amp;" "&amp;I113,E113)&amp;IF(AND(Q113="",LOOKUP(2,1/((Overview!$L$3:$L$62&lt;=ROW()-2)*(Overview!$M$3:$M$62&gt;=ROW()-2)),Overview!$W$3:$W$62)=""),"",", "&amp;IF(Q113&lt;&gt;"",Q113,"")&amp;IF(AND(Q113&lt;&gt;"",LOOKUP(2,1/((Overview!$L$3:$L$62&lt;=ROW()-2)*(Overview!$M$3:$M$62&gt;=ROW()-2)),Overview!$W$3:$W$62)&lt;&gt;""),"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3" t="str">
        <f t="shared" si="6"/>
        <v/>
      </c>
      <c r="U113" s="10" t="str">
        <f>IF(A113="","",O113&amp;IF(LOOKUP(2,1/((Overview!$L$3:$L$62&lt;=ROW()-2)*(Overview!$M$3:$M$62&gt;=ROW()-2)),Overview!$T$3:$T$62)&lt;&gt;"","_"&amp;LOOKUP(2,1/((Overview!$L$3:$L$62&lt;=ROW()-2)*(Overview!$M$3:$M$62&gt;=ROW()-2)),Overview!$T$3:$T$62),"")&amp;IF(Q113&lt;&gt;"","_"&amp;Q113,"")&amp;IF(E113&lt;&gt;"","_"&amp;E113,"")&amp;LOOKUP(2,1/((Overview!$L$3:$L$62&lt;=ROW()-2)*(Overview!$M$3:$M$62&gt;=ROW()-2)),Overview!$X$3:$X$62))</f>
        <v/>
      </c>
      <c r="V113" t="str">
        <f t="shared" si="7"/>
        <v/>
      </c>
      <c r="W113" t="str">
        <f>IF(U113="","",O113&amp;IF(LOOKUP(2,1/((Overview!$L$3:$L$62&lt;=ROW()-2)*(Overview!$M$3:$M$62&gt;=ROW()-2)),Overview!$T$3:$T$62)&lt;&gt;"","_"&amp;LOOKUP(2,1/((Overview!$L$3:$L$62&lt;=ROW()-2)*(Overview!$M$3:$M$62&gt;=ROW()-2)),Overview!$T$3:$T$62),"")&amp;"_"&amp;IF(LEFT(LOWER(TRIM(F113)),3)="set",TRIM(F113),"Set"&amp;TRIM(F113))&amp;IF(Q113&lt;&gt;"","_"&amp;Q113,"")&amp;IF(E113&lt;&gt;"","_"&amp;E113,"")&amp;LOOKUP(2,1/((Overview!$L$3:$L$62&lt;=ROW()-2)*(Overview!$M$3:$M$62&gt;=ROW()-2)),Overview!$X$3:$X$62))</f>
        <v/>
      </c>
      <c r="X113" t="str">
        <f t="shared" si="8"/>
        <v/>
      </c>
    </row>
    <row r="114" spans="1:24" ht="13.9" thickBot="1">
      <c r="A114" s="5" t="str">
        <f>IF(ROW()-2&gt;SUMIFS(Overview!$K$3:$K$62,Overview!$N$3:$N$62,"OK"),"",LOOKUP(2,1/((Overview!$L$3:$L$62&lt;=ROW()-2)*(Overview!$M$3:$M$62&gt;=ROW()-2)),Overview!$R$3:$R$62))</f>
        <v/>
      </c>
      <c r="B114" s="5" t="str">
        <f>IF(A114="","",LOOKUP(2,1/((Overview!$L$3:$L$62&lt;=ROW()-2)*(Overview!$M$3:$M$62&gt;=ROW()-2)),Overview!$O$3:$O$62))</f>
        <v/>
      </c>
      <c r="C114" s="5" t="str">
        <f>IF(A114="","",LOOKUP(2,1/((Overview!$L$3:$L$62&lt;=ROW()-2)*(Overview!$M$3:$M$62&gt;=ROW()-2)),Overview!$Y$3:$Y$62))</f>
        <v/>
      </c>
      <c r="D114" s="113" t="str">
        <f>IF(A114="","",ROW()-2-LOOKUP(2,1/((Overview!$L$3:$L$62&lt;=ROW()-2)*(Overview!$M$3:$M$62&gt;=ROW()-2)),Overview!$L$3:$L$62)+1)</f>
        <v/>
      </c>
      <c r="E114" s="113" t="str">
        <f>IF(A114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4" s="113" t="str">
        <f>IF(A114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4" s="113" t="str">
        <f>IF(A114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4" s="113" t="str">
        <f>IF(A114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4" s="113" t="str">
        <f>IF(A114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4" s="113" t="str">
        <f>IF(A114="","","image"&amp;D114&amp;LOOKUP(2,1/((Overview!$L$3:$L$62&lt;=ROW()-2)*(Overview!$M$3:$M$62&gt;=ROW()-2)),Overview!$X$3:$X$62))</f>
        <v/>
      </c>
      <c r="K114" s="113" t="str">
        <f t="shared" si="9"/>
        <v/>
      </c>
      <c r="L114" s="111" t="str">
        <f>IF(U114="","",IF(V114=1,U114,IF(X114=1,W114,LEFT(W114,LEN(W114)-LEN(LOOKUP(2,1/((Overview!$L$3:$L$62&lt;=ROW()-2)*(Overview!$M$3:$M$62&gt;=ROW()-2)),Overview!$X$3:$X$62)))&amp;IF(COUNTIF($W$3:W114,W114)=1,"","__"&amp;COUNTIF($W$3:W114,W114))&amp;LOOKUP(2,1/((Overview!$L$3:$L$62&lt;=ROW()-2)*(Overview!$M$3:$M$62&gt;=ROW()-2)),Overview!$X$3:$X$62))))</f>
        <v/>
      </c>
      <c r="M114" s="5" t="str">
        <f>IF(A114="","",LOOKUP(2,1/((Overview!$L$3:$L$62&lt;=ROW()-2)*(Overview!$M$3:$M$62&gt;=ROW()-2)),Overview!$U$3:$U$62))</f>
        <v/>
      </c>
      <c r="N114" s="5" t="str">
        <f>IF(A114="","",LOOKUP(2,1/((Overview!$L$3:$L$62&lt;=ROW()-2)*(Overview!$M$3:$M$62&gt;=ROW()-2)),Overview!$V$3:$V$62))</f>
        <v/>
      </c>
      <c r="O114" s="5" t="str">
        <f>IF(A114="","",LOOKUP(2,1/((Overview!$L$3:$L$62&lt;=ROW()-2)*(Overview!$M$3:$M$62&gt;=ROW()-2)),Overview!$B$3:$B$62))</f>
        <v/>
      </c>
      <c r="P114" s="14" t="str">
        <f>IF(A114="","",LOOKUP(2,1/((Overview!$L$3:$L$62&lt;=ROW()-2)*(Overview!$M$3:$M$62&gt;=ROW()-2)),Overview!$S$3:$S$62))</f>
        <v/>
      </c>
      <c r="Q114" s="5" t="str">
        <f>IF(A114="","",LOOKUP(2,1/((Overview!$L$3:$L$62&lt;=ROW()-2)*(Overview!$M$3:$M$62&gt;=ROW()-2)),Overview!$C$3:$C$62))</f>
        <v/>
      </c>
      <c r="R114" s="22" t="str">
        <f>IF(E114="","",IF(AND(I114&lt;&gt;"",LOOKUP(2,1/((Overview!$L$3:$L$62&lt;=ROW()-2)*(Overview!$M$3:$M$62&gt;=ROW()-2)),Overview!$Z$3:$Z$62)&lt;&gt;""),LEFT(E114,LEN(E114)-LEN(I114))&amp;LOOKUP(2,1/((Overview!$L$3:$L$62&lt;=ROW()-2)*(Overview!$M$3:$M$62&gt;=ROW()-2)),Overview!$Z$3:$Z$62)&amp;" "&amp;I114,E114)&amp;IF(AND(Q114="",LOOKUP(2,1/((Overview!$L$3:$L$62&lt;=ROW()-2)*(Overview!$M$3:$M$62&gt;=ROW()-2)),Overview!$W$3:$W$62)=""),"",", "&amp;IF(Q114&lt;&gt;"",Q114,"")&amp;IF(AND(Q114&lt;&gt;"",LOOKUP(2,1/((Overview!$L$3:$L$62&lt;=ROW()-2)*(Overview!$M$3:$M$62&gt;=ROW()-2)),Overview!$W$3:$W$62)&lt;&gt;""),"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4" t="str">
        <f t="shared" si="6"/>
        <v/>
      </c>
      <c r="U114" s="10" t="str">
        <f>IF(A114="","",O114&amp;IF(LOOKUP(2,1/((Overview!$L$3:$L$62&lt;=ROW()-2)*(Overview!$M$3:$M$62&gt;=ROW()-2)),Overview!$T$3:$T$62)&lt;&gt;"","_"&amp;LOOKUP(2,1/((Overview!$L$3:$L$62&lt;=ROW()-2)*(Overview!$M$3:$M$62&gt;=ROW()-2)),Overview!$T$3:$T$62),"")&amp;IF(Q114&lt;&gt;"","_"&amp;Q114,"")&amp;IF(E114&lt;&gt;"","_"&amp;E114,"")&amp;LOOKUP(2,1/((Overview!$L$3:$L$62&lt;=ROW()-2)*(Overview!$M$3:$M$62&gt;=ROW()-2)),Overview!$X$3:$X$62))</f>
        <v/>
      </c>
      <c r="V114" t="str">
        <f t="shared" si="7"/>
        <v/>
      </c>
      <c r="W114" t="str">
        <f>IF(U114="","",O114&amp;IF(LOOKUP(2,1/((Overview!$L$3:$L$62&lt;=ROW()-2)*(Overview!$M$3:$M$62&gt;=ROW()-2)),Overview!$T$3:$T$62)&lt;&gt;"","_"&amp;LOOKUP(2,1/((Overview!$L$3:$L$62&lt;=ROW()-2)*(Overview!$M$3:$M$62&gt;=ROW()-2)),Overview!$T$3:$T$62),"")&amp;"_"&amp;IF(LEFT(LOWER(TRIM(F114)),3)="set",TRIM(F114),"Set"&amp;TRIM(F114))&amp;IF(Q114&lt;&gt;"","_"&amp;Q114,"")&amp;IF(E114&lt;&gt;"","_"&amp;E114,"")&amp;LOOKUP(2,1/((Overview!$L$3:$L$62&lt;=ROW()-2)*(Overview!$M$3:$M$62&gt;=ROW()-2)),Overview!$X$3:$X$62))</f>
        <v/>
      </c>
      <c r="X114" t="str">
        <f t="shared" si="8"/>
        <v/>
      </c>
    </row>
    <row r="115" spans="1:24" ht="13.9" thickBot="1">
      <c r="A115" s="5" t="str">
        <f>IF(ROW()-2&gt;SUMIFS(Overview!$K$3:$K$62,Overview!$N$3:$N$62,"OK"),"",LOOKUP(2,1/((Overview!$L$3:$L$62&lt;=ROW()-2)*(Overview!$M$3:$M$62&gt;=ROW()-2)),Overview!$R$3:$R$62))</f>
        <v/>
      </c>
      <c r="B115" s="5" t="str">
        <f>IF(A115="","",LOOKUP(2,1/((Overview!$L$3:$L$62&lt;=ROW()-2)*(Overview!$M$3:$M$62&gt;=ROW()-2)),Overview!$O$3:$O$62))</f>
        <v/>
      </c>
      <c r="C115" s="5" t="str">
        <f>IF(A115="","",LOOKUP(2,1/((Overview!$L$3:$L$62&lt;=ROW()-2)*(Overview!$M$3:$M$62&gt;=ROW()-2)),Overview!$Y$3:$Y$62))</f>
        <v/>
      </c>
      <c r="D115" s="113" t="str">
        <f>IF(A115="","",ROW()-2-LOOKUP(2,1/((Overview!$L$3:$L$62&lt;=ROW()-2)*(Overview!$M$3:$M$62&gt;=ROW()-2)),Overview!$L$3:$L$62)+1)</f>
        <v/>
      </c>
      <c r="E115" s="113" t="str">
        <f>IF(A115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5" s="113" t="str">
        <f>IF(A115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5" s="113" t="str">
        <f>IF(A115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5" s="113" t="str">
        <f>IF(A115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5" s="113" t="str">
        <f>IF(A115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5" s="113" t="str">
        <f>IF(A115="","","image"&amp;D115&amp;LOOKUP(2,1/((Overview!$L$3:$L$62&lt;=ROW()-2)*(Overview!$M$3:$M$62&gt;=ROW()-2)),Overview!$X$3:$X$62))</f>
        <v/>
      </c>
      <c r="K115" s="113" t="str">
        <f t="shared" si="9"/>
        <v/>
      </c>
      <c r="L115" s="111" t="str">
        <f>IF(U115="","",IF(V115=1,U115,IF(X115=1,W115,LEFT(W115,LEN(W115)-LEN(LOOKUP(2,1/((Overview!$L$3:$L$62&lt;=ROW()-2)*(Overview!$M$3:$M$62&gt;=ROW()-2)),Overview!$X$3:$X$62)))&amp;IF(COUNTIF($W$3:W115,W115)=1,"","__"&amp;COUNTIF($W$3:W115,W115))&amp;LOOKUP(2,1/((Overview!$L$3:$L$62&lt;=ROW()-2)*(Overview!$M$3:$M$62&gt;=ROW()-2)),Overview!$X$3:$X$62))))</f>
        <v/>
      </c>
      <c r="M115" s="5" t="str">
        <f>IF(A115="","",LOOKUP(2,1/((Overview!$L$3:$L$62&lt;=ROW()-2)*(Overview!$M$3:$M$62&gt;=ROW()-2)),Overview!$U$3:$U$62))</f>
        <v/>
      </c>
      <c r="N115" s="5" t="str">
        <f>IF(A115="","",LOOKUP(2,1/((Overview!$L$3:$L$62&lt;=ROW()-2)*(Overview!$M$3:$M$62&gt;=ROW()-2)),Overview!$V$3:$V$62))</f>
        <v/>
      </c>
      <c r="O115" s="5" t="str">
        <f>IF(A115="","",LOOKUP(2,1/((Overview!$L$3:$L$62&lt;=ROW()-2)*(Overview!$M$3:$M$62&gt;=ROW()-2)),Overview!$B$3:$B$62))</f>
        <v/>
      </c>
      <c r="P115" s="14" t="str">
        <f>IF(A115="","",LOOKUP(2,1/((Overview!$L$3:$L$62&lt;=ROW()-2)*(Overview!$M$3:$M$62&gt;=ROW()-2)),Overview!$S$3:$S$62))</f>
        <v/>
      </c>
      <c r="Q115" s="5" t="str">
        <f>IF(A115="","",LOOKUP(2,1/((Overview!$L$3:$L$62&lt;=ROW()-2)*(Overview!$M$3:$M$62&gt;=ROW()-2)),Overview!$C$3:$C$62))</f>
        <v/>
      </c>
      <c r="R115" s="22" t="str">
        <f>IF(E115="","",IF(AND(I115&lt;&gt;"",LOOKUP(2,1/((Overview!$L$3:$L$62&lt;=ROW()-2)*(Overview!$M$3:$M$62&gt;=ROW()-2)),Overview!$Z$3:$Z$62)&lt;&gt;""),LEFT(E115,LEN(E115)-LEN(I115))&amp;LOOKUP(2,1/((Overview!$L$3:$L$62&lt;=ROW()-2)*(Overview!$M$3:$M$62&gt;=ROW()-2)),Overview!$Z$3:$Z$62)&amp;" "&amp;I115,E115)&amp;IF(AND(Q115="",LOOKUP(2,1/((Overview!$L$3:$L$62&lt;=ROW()-2)*(Overview!$M$3:$M$62&gt;=ROW()-2)),Overview!$W$3:$W$62)=""),"",", "&amp;IF(Q115&lt;&gt;"",Q115,"")&amp;IF(AND(Q115&lt;&gt;"",LOOKUP(2,1/((Overview!$L$3:$L$62&lt;=ROW()-2)*(Overview!$M$3:$M$62&gt;=ROW()-2)),Overview!$W$3:$W$62)&lt;&gt;""),"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5" t="str">
        <f t="shared" si="6"/>
        <v/>
      </c>
      <c r="U115" s="10" t="str">
        <f>IF(A115="","",O115&amp;IF(LOOKUP(2,1/((Overview!$L$3:$L$62&lt;=ROW()-2)*(Overview!$M$3:$M$62&gt;=ROW()-2)),Overview!$T$3:$T$62)&lt;&gt;"","_"&amp;LOOKUP(2,1/((Overview!$L$3:$L$62&lt;=ROW()-2)*(Overview!$M$3:$M$62&gt;=ROW()-2)),Overview!$T$3:$T$62),"")&amp;IF(Q115&lt;&gt;"","_"&amp;Q115,"")&amp;IF(E115&lt;&gt;"","_"&amp;E115,"")&amp;LOOKUP(2,1/((Overview!$L$3:$L$62&lt;=ROW()-2)*(Overview!$M$3:$M$62&gt;=ROW()-2)),Overview!$X$3:$X$62))</f>
        <v/>
      </c>
      <c r="V115" t="str">
        <f t="shared" si="7"/>
        <v/>
      </c>
      <c r="W115" t="str">
        <f>IF(U115="","",O115&amp;IF(LOOKUP(2,1/((Overview!$L$3:$L$62&lt;=ROW()-2)*(Overview!$M$3:$M$62&gt;=ROW()-2)),Overview!$T$3:$T$62)&lt;&gt;"","_"&amp;LOOKUP(2,1/((Overview!$L$3:$L$62&lt;=ROW()-2)*(Overview!$M$3:$M$62&gt;=ROW()-2)),Overview!$T$3:$T$62),"")&amp;"_"&amp;IF(LEFT(LOWER(TRIM(F115)),3)="set",TRIM(F115),"Set"&amp;TRIM(F115))&amp;IF(Q115&lt;&gt;"","_"&amp;Q115,"")&amp;IF(E115&lt;&gt;"","_"&amp;E115,"")&amp;LOOKUP(2,1/((Overview!$L$3:$L$62&lt;=ROW()-2)*(Overview!$M$3:$M$62&gt;=ROW()-2)),Overview!$X$3:$X$62))</f>
        <v/>
      </c>
      <c r="X115" t="str">
        <f t="shared" si="8"/>
        <v/>
      </c>
    </row>
    <row r="116" spans="1:24" ht="13.9" thickBot="1">
      <c r="A116" s="5" t="str">
        <f>IF(ROW()-2&gt;SUMIFS(Overview!$K$3:$K$62,Overview!$N$3:$N$62,"OK"),"",LOOKUP(2,1/((Overview!$L$3:$L$62&lt;=ROW()-2)*(Overview!$M$3:$M$62&gt;=ROW()-2)),Overview!$R$3:$R$62))</f>
        <v/>
      </c>
      <c r="B116" s="5" t="str">
        <f>IF(A116="","",LOOKUP(2,1/((Overview!$L$3:$L$62&lt;=ROW()-2)*(Overview!$M$3:$M$62&gt;=ROW()-2)),Overview!$O$3:$O$62))</f>
        <v/>
      </c>
      <c r="C116" s="5" t="str">
        <f>IF(A116="","",LOOKUP(2,1/((Overview!$L$3:$L$62&lt;=ROW()-2)*(Overview!$M$3:$M$62&gt;=ROW()-2)),Overview!$Y$3:$Y$62))</f>
        <v/>
      </c>
      <c r="D116" s="113" t="str">
        <f>IF(A116="","",ROW()-2-LOOKUP(2,1/((Overview!$L$3:$L$62&lt;=ROW()-2)*(Overview!$M$3:$M$62&gt;=ROW()-2)),Overview!$L$3:$L$62)+1)</f>
        <v/>
      </c>
      <c r="E116" s="113" t="str">
        <f>IF(A116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6" s="113" t="str">
        <f>IF(A116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6" s="113" t="str">
        <f>IF(A116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6" s="113" t="str">
        <f>IF(A116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6" s="113" t="str">
        <f>IF(A116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6" s="113" t="str">
        <f>IF(A116="","","image"&amp;D116&amp;LOOKUP(2,1/((Overview!$L$3:$L$62&lt;=ROW()-2)*(Overview!$M$3:$M$62&gt;=ROW()-2)),Overview!$X$3:$X$62))</f>
        <v/>
      </c>
      <c r="K116" s="113" t="str">
        <f t="shared" si="9"/>
        <v/>
      </c>
      <c r="L116" s="111" t="str">
        <f>IF(U116="","",IF(V116=1,U116,IF(X116=1,W116,LEFT(W116,LEN(W116)-LEN(LOOKUP(2,1/((Overview!$L$3:$L$62&lt;=ROW()-2)*(Overview!$M$3:$M$62&gt;=ROW()-2)),Overview!$X$3:$X$62)))&amp;IF(COUNTIF($W$3:W116,W116)=1,"","__"&amp;COUNTIF($W$3:W116,W116))&amp;LOOKUP(2,1/((Overview!$L$3:$L$62&lt;=ROW()-2)*(Overview!$M$3:$M$62&gt;=ROW()-2)),Overview!$X$3:$X$62))))</f>
        <v/>
      </c>
      <c r="M116" s="5" t="str">
        <f>IF(A116="","",LOOKUP(2,1/((Overview!$L$3:$L$62&lt;=ROW()-2)*(Overview!$M$3:$M$62&gt;=ROW()-2)),Overview!$U$3:$U$62))</f>
        <v/>
      </c>
      <c r="N116" s="5" t="str">
        <f>IF(A116="","",LOOKUP(2,1/((Overview!$L$3:$L$62&lt;=ROW()-2)*(Overview!$M$3:$M$62&gt;=ROW()-2)),Overview!$V$3:$V$62))</f>
        <v/>
      </c>
      <c r="O116" s="5" t="str">
        <f>IF(A116="","",LOOKUP(2,1/((Overview!$L$3:$L$62&lt;=ROW()-2)*(Overview!$M$3:$M$62&gt;=ROW()-2)),Overview!$B$3:$B$62))</f>
        <v/>
      </c>
      <c r="P116" s="14" t="str">
        <f>IF(A116="","",LOOKUP(2,1/((Overview!$L$3:$L$62&lt;=ROW()-2)*(Overview!$M$3:$M$62&gt;=ROW()-2)),Overview!$S$3:$S$62))</f>
        <v/>
      </c>
      <c r="Q116" s="5" t="str">
        <f>IF(A116="","",LOOKUP(2,1/((Overview!$L$3:$L$62&lt;=ROW()-2)*(Overview!$M$3:$M$62&gt;=ROW()-2)),Overview!$C$3:$C$62))</f>
        <v/>
      </c>
      <c r="R116" s="22" t="str">
        <f>IF(E116="","",IF(AND(I116&lt;&gt;"",LOOKUP(2,1/((Overview!$L$3:$L$62&lt;=ROW()-2)*(Overview!$M$3:$M$62&gt;=ROW()-2)),Overview!$Z$3:$Z$62)&lt;&gt;""),LEFT(E116,LEN(E116)-LEN(I116))&amp;LOOKUP(2,1/((Overview!$L$3:$L$62&lt;=ROW()-2)*(Overview!$M$3:$M$62&gt;=ROW()-2)),Overview!$Z$3:$Z$62)&amp;" "&amp;I116,E116)&amp;IF(AND(Q116="",LOOKUP(2,1/((Overview!$L$3:$L$62&lt;=ROW()-2)*(Overview!$M$3:$M$62&gt;=ROW()-2)),Overview!$W$3:$W$62)=""),"",", "&amp;IF(Q116&lt;&gt;"",Q116,"")&amp;IF(AND(Q116&lt;&gt;"",LOOKUP(2,1/((Overview!$L$3:$L$62&lt;=ROW()-2)*(Overview!$M$3:$M$62&gt;=ROW()-2)),Overview!$W$3:$W$62)&lt;&gt;""),"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6" t="str">
        <f t="shared" si="6"/>
        <v/>
      </c>
      <c r="U116" s="10" t="str">
        <f>IF(A116="","",O116&amp;IF(LOOKUP(2,1/((Overview!$L$3:$L$62&lt;=ROW()-2)*(Overview!$M$3:$M$62&gt;=ROW()-2)),Overview!$T$3:$T$62)&lt;&gt;"","_"&amp;LOOKUP(2,1/((Overview!$L$3:$L$62&lt;=ROW()-2)*(Overview!$M$3:$M$62&gt;=ROW()-2)),Overview!$T$3:$T$62),"")&amp;IF(Q116&lt;&gt;"","_"&amp;Q116,"")&amp;IF(E116&lt;&gt;"","_"&amp;E116,"")&amp;LOOKUP(2,1/((Overview!$L$3:$L$62&lt;=ROW()-2)*(Overview!$M$3:$M$62&gt;=ROW()-2)),Overview!$X$3:$X$62))</f>
        <v/>
      </c>
      <c r="V116" t="str">
        <f t="shared" si="7"/>
        <v/>
      </c>
      <c r="W116" t="str">
        <f>IF(U116="","",O116&amp;IF(LOOKUP(2,1/((Overview!$L$3:$L$62&lt;=ROW()-2)*(Overview!$M$3:$M$62&gt;=ROW()-2)),Overview!$T$3:$T$62)&lt;&gt;"","_"&amp;LOOKUP(2,1/((Overview!$L$3:$L$62&lt;=ROW()-2)*(Overview!$M$3:$M$62&gt;=ROW()-2)),Overview!$T$3:$T$62),"")&amp;"_"&amp;IF(LEFT(LOWER(TRIM(F116)),3)="set",TRIM(F116),"Set"&amp;TRIM(F116))&amp;IF(Q116&lt;&gt;"","_"&amp;Q116,"")&amp;IF(E116&lt;&gt;"","_"&amp;E116,"")&amp;LOOKUP(2,1/((Overview!$L$3:$L$62&lt;=ROW()-2)*(Overview!$M$3:$M$62&gt;=ROW()-2)),Overview!$X$3:$X$62))</f>
        <v/>
      </c>
      <c r="X116" t="str">
        <f t="shared" si="8"/>
        <v/>
      </c>
    </row>
    <row r="117" spans="1:24" ht="13.9" thickBot="1">
      <c r="A117" s="5" t="str">
        <f>IF(ROW()-2&gt;SUMIFS(Overview!$K$3:$K$62,Overview!$N$3:$N$62,"OK"),"",LOOKUP(2,1/((Overview!$L$3:$L$62&lt;=ROW()-2)*(Overview!$M$3:$M$62&gt;=ROW()-2)),Overview!$R$3:$R$62))</f>
        <v/>
      </c>
      <c r="B117" s="5" t="str">
        <f>IF(A117="","",LOOKUP(2,1/((Overview!$L$3:$L$62&lt;=ROW()-2)*(Overview!$M$3:$M$62&gt;=ROW()-2)),Overview!$O$3:$O$62))</f>
        <v/>
      </c>
      <c r="C117" s="5" t="str">
        <f>IF(A117="","",LOOKUP(2,1/((Overview!$L$3:$L$62&lt;=ROW()-2)*(Overview!$M$3:$M$62&gt;=ROW()-2)),Overview!$Y$3:$Y$62))</f>
        <v/>
      </c>
      <c r="D117" s="113" t="str">
        <f>IF(A117="","",ROW()-2-LOOKUP(2,1/((Overview!$L$3:$L$62&lt;=ROW()-2)*(Overview!$M$3:$M$62&gt;=ROW()-2)),Overview!$L$3:$L$62)+1)</f>
        <v/>
      </c>
      <c r="E117" s="113" t="str">
        <f>IF(A117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7" s="113" t="str">
        <f>IF(A117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7" s="113" t="str">
        <f>IF(A117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7" s="113" t="str">
        <f>IF(A117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7" s="113" t="str">
        <f>IF(A117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7" s="113" t="str">
        <f>IF(A117="","","image"&amp;D117&amp;LOOKUP(2,1/((Overview!$L$3:$L$62&lt;=ROW()-2)*(Overview!$M$3:$M$62&gt;=ROW()-2)),Overview!$X$3:$X$62))</f>
        <v/>
      </c>
      <c r="K117" s="113" t="str">
        <f t="shared" si="9"/>
        <v/>
      </c>
      <c r="L117" s="111" t="str">
        <f>IF(U117="","",IF(V117=1,U117,IF(X117=1,W117,LEFT(W117,LEN(W117)-LEN(LOOKUP(2,1/((Overview!$L$3:$L$62&lt;=ROW()-2)*(Overview!$M$3:$M$62&gt;=ROW()-2)),Overview!$X$3:$X$62)))&amp;IF(COUNTIF($W$3:W117,W117)=1,"","__"&amp;COUNTIF($W$3:W117,W117))&amp;LOOKUP(2,1/((Overview!$L$3:$L$62&lt;=ROW()-2)*(Overview!$M$3:$M$62&gt;=ROW()-2)),Overview!$X$3:$X$62))))</f>
        <v/>
      </c>
      <c r="M117" s="5" t="str">
        <f>IF(A117="","",LOOKUP(2,1/((Overview!$L$3:$L$62&lt;=ROW()-2)*(Overview!$M$3:$M$62&gt;=ROW()-2)),Overview!$U$3:$U$62))</f>
        <v/>
      </c>
      <c r="N117" s="5" t="str">
        <f>IF(A117="","",LOOKUP(2,1/((Overview!$L$3:$L$62&lt;=ROW()-2)*(Overview!$M$3:$M$62&gt;=ROW()-2)),Overview!$V$3:$V$62))</f>
        <v/>
      </c>
      <c r="O117" s="5" t="str">
        <f>IF(A117="","",LOOKUP(2,1/((Overview!$L$3:$L$62&lt;=ROW()-2)*(Overview!$M$3:$M$62&gt;=ROW()-2)),Overview!$B$3:$B$62))</f>
        <v/>
      </c>
      <c r="P117" s="14" t="str">
        <f>IF(A117="","",LOOKUP(2,1/((Overview!$L$3:$L$62&lt;=ROW()-2)*(Overview!$M$3:$M$62&gt;=ROW()-2)),Overview!$S$3:$S$62))</f>
        <v/>
      </c>
      <c r="Q117" s="5" t="str">
        <f>IF(A117="","",LOOKUP(2,1/((Overview!$L$3:$L$62&lt;=ROW()-2)*(Overview!$M$3:$M$62&gt;=ROW()-2)),Overview!$C$3:$C$62))</f>
        <v/>
      </c>
      <c r="R117" s="22" t="str">
        <f>IF(E117="","",IF(AND(I117&lt;&gt;"",LOOKUP(2,1/((Overview!$L$3:$L$62&lt;=ROW()-2)*(Overview!$M$3:$M$62&gt;=ROW()-2)),Overview!$Z$3:$Z$62)&lt;&gt;""),LEFT(E117,LEN(E117)-LEN(I117))&amp;LOOKUP(2,1/((Overview!$L$3:$L$62&lt;=ROW()-2)*(Overview!$M$3:$M$62&gt;=ROW()-2)),Overview!$Z$3:$Z$62)&amp;" "&amp;I117,E117)&amp;IF(AND(Q117="",LOOKUP(2,1/((Overview!$L$3:$L$62&lt;=ROW()-2)*(Overview!$M$3:$M$62&gt;=ROW()-2)),Overview!$W$3:$W$62)=""),"",", "&amp;IF(Q117&lt;&gt;"",Q117,"")&amp;IF(AND(Q117&lt;&gt;"",LOOKUP(2,1/((Overview!$L$3:$L$62&lt;=ROW()-2)*(Overview!$M$3:$M$62&gt;=ROW()-2)),Overview!$W$3:$W$62)&lt;&gt;""),"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7" t="str">
        <f t="shared" si="6"/>
        <v/>
      </c>
      <c r="U117" s="10" t="str">
        <f>IF(A117="","",O117&amp;IF(LOOKUP(2,1/((Overview!$L$3:$L$62&lt;=ROW()-2)*(Overview!$M$3:$M$62&gt;=ROW()-2)),Overview!$T$3:$T$62)&lt;&gt;"","_"&amp;LOOKUP(2,1/((Overview!$L$3:$L$62&lt;=ROW()-2)*(Overview!$M$3:$M$62&gt;=ROW()-2)),Overview!$T$3:$T$62),"")&amp;IF(Q117&lt;&gt;"","_"&amp;Q117,"")&amp;IF(E117&lt;&gt;"","_"&amp;E117,"")&amp;LOOKUP(2,1/((Overview!$L$3:$L$62&lt;=ROW()-2)*(Overview!$M$3:$M$62&gt;=ROW()-2)),Overview!$X$3:$X$62))</f>
        <v/>
      </c>
      <c r="V117" t="str">
        <f t="shared" si="7"/>
        <v/>
      </c>
      <c r="W117" t="str">
        <f>IF(U117="","",O117&amp;IF(LOOKUP(2,1/((Overview!$L$3:$L$62&lt;=ROW()-2)*(Overview!$M$3:$M$62&gt;=ROW()-2)),Overview!$T$3:$T$62)&lt;&gt;"","_"&amp;LOOKUP(2,1/((Overview!$L$3:$L$62&lt;=ROW()-2)*(Overview!$M$3:$M$62&gt;=ROW()-2)),Overview!$T$3:$T$62),"")&amp;"_"&amp;IF(LEFT(LOWER(TRIM(F117)),3)="set",TRIM(F117),"Set"&amp;TRIM(F117))&amp;IF(Q117&lt;&gt;"","_"&amp;Q117,"")&amp;IF(E117&lt;&gt;"","_"&amp;E117,"")&amp;LOOKUP(2,1/((Overview!$L$3:$L$62&lt;=ROW()-2)*(Overview!$M$3:$M$62&gt;=ROW()-2)),Overview!$X$3:$X$62))</f>
        <v/>
      </c>
      <c r="X117" t="str">
        <f t="shared" si="8"/>
        <v/>
      </c>
    </row>
    <row r="118" spans="1:24" ht="13.9" thickBot="1">
      <c r="A118" s="5" t="str">
        <f>IF(ROW()-2&gt;SUMIFS(Overview!$K$3:$K$62,Overview!$N$3:$N$62,"OK"),"",LOOKUP(2,1/((Overview!$L$3:$L$62&lt;=ROW()-2)*(Overview!$M$3:$M$62&gt;=ROW()-2)),Overview!$R$3:$R$62))</f>
        <v/>
      </c>
      <c r="B118" s="5" t="str">
        <f>IF(A118="","",LOOKUP(2,1/((Overview!$L$3:$L$62&lt;=ROW()-2)*(Overview!$M$3:$M$62&gt;=ROW()-2)),Overview!$O$3:$O$62))</f>
        <v/>
      </c>
      <c r="C118" s="5" t="str">
        <f>IF(A118="","",LOOKUP(2,1/((Overview!$L$3:$L$62&lt;=ROW()-2)*(Overview!$M$3:$M$62&gt;=ROW()-2)),Overview!$Y$3:$Y$62))</f>
        <v/>
      </c>
      <c r="D118" s="113" t="str">
        <f>IF(A118="","",ROW()-2-LOOKUP(2,1/((Overview!$L$3:$L$62&lt;=ROW()-2)*(Overview!$M$3:$M$62&gt;=ROW()-2)),Overview!$L$3:$L$62)+1)</f>
        <v/>
      </c>
      <c r="E118" s="113" t="str">
        <f>IF(A118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8" s="113" t="str">
        <f>IF(A118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8" s="113" t="str">
        <f>IF(A118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8" s="113" t="str">
        <f>IF(A118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8" s="113" t="str">
        <f>IF(A118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8" s="113" t="str">
        <f>IF(A118="","","image"&amp;D118&amp;LOOKUP(2,1/((Overview!$L$3:$L$62&lt;=ROW()-2)*(Overview!$M$3:$M$62&gt;=ROW()-2)),Overview!$X$3:$X$62))</f>
        <v/>
      </c>
      <c r="K118" s="113" t="str">
        <f t="shared" si="9"/>
        <v/>
      </c>
      <c r="L118" s="111" t="str">
        <f>IF(U118="","",IF(V118=1,U118,IF(X118=1,W118,LEFT(W118,LEN(W118)-LEN(LOOKUP(2,1/((Overview!$L$3:$L$62&lt;=ROW()-2)*(Overview!$M$3:$M$62&gt;=ROW()-2)),Overview!$X$3:$X$62)))&amp;IF(COUNTIF($W$3:W118,W118)=1,"","__"&amp;COUNTIF($W$3:W118,W118))&amp;LOOKUP(2,1/((Overview!$L$3:$L$62&lt;=ROW()-2)*(Overview!$M$3:$M$62&gt;=ROW()-2)),Overview!$X$3:$X$62))))</f>
        <v/>
      </c>
      <c r="M118" s="5" t="str">
        <f>IF(A118="","",LOOKUP(2,1/((Overview!$L$3:$L$62&lt;=ROW()-2)*(Overview!$M$3:$M$62&gt;=ROW()-2)),Overview!$U$3:$U$62))</f>
        <v/>
      </c>
      <c r="N118" s="5" t="str">
        <f>IF(A118="","",LOOKUP(2,1/((Overview!$L$3:$L$62&lt;=ROW()-2)*(Overview!$M$3:$M$62&gt;=ROW()-2)),Overview!$V$3:$V$62))</f>
        <v/>
      </c>
      <c r="O118" s="5" t="str">
        <f>IF(A118="","",LOOKUP(2,1/((Overview!$L$3:$L$62&lt;=ROW()-2)*(Overview!$M$3:$M$62&gt;=ROW()-2)),Overview!$B$3:$B$62))</f>
        <v/>
      </c>
      <c r="P118" s="14" t="str">
        <f>IF(A118="","",LOOKUP(2,1/((Overview!$L$3:$L$62&lt;=ROW()-2)*(Overview!$M$3:$M$62&gt;=ROW()-2)),Overview!$S$3:$S$62))</f>
        <v/>
      </c>
      <c r="Q118" s="5" t="str">
        <f>IF(A118="","",LOOKUP(2,1/((Overview!$L$3:$L$62&lt;=ROW()-2)*(Overview!$M$3:$M$62&gt;=ROW()-2)),Overview!$C$3:$C$62))</f>
        <v/>
      </c>
      <c r="R118" s="22" t="str">
        <f>IF(E118="","",IF(AND(I118&lt;&gt;"",LOOKUP(2,1/((Overview!$L$3:$L$62&lt;=ROW()-2)*(Overview!$M$3:$M$62&gt;=ROW()-2)),Overview!$Z$3:$Z$62)&lt;&gt;""),LEFT(E118,LEN(E118)-LEN(I118))&amp;LOOKUP(2,1/((Overview!$L$3:$L$62&lt;=ROW()-2)*(Overview!$M$3:$M$62&gt;=ROW()-2)),Overview!$Z$3:$Z$62)&amp;" "&amp;I118,E118)&amp;IF(AND(Q118="",LOOKUP(2,1/((Overview!$L$3:$L$62&lt;=ROW()-2)*(Overview!$M$3:$M$62&gt;=ROW()-2)),Overview!$W$3:$W$62)=""),"",", "&amp;IF(Q118&lt;&gt;"",Q118,"")&amp;IF(AND(Q118&lt;&gt;"",LOOKUP(2,1/((Overview!$L$3:$L$62&lt;=ROW()-2)*(Overview!$M$3:$M$62&gt;=ROW()-2)),Overview!$W$3:$W$62)&lt;&gt;""),"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8" t="str">
        <f t="shared" si="6"/>
        <v/>
      </c>
      <c r="U118" s="10" t="str">
        <f>IF(A118="","",O118&amp;IF(LOOKUP(2,1/((Overview!$L$3:$L$62&lt;=ROW()-2)*(Overview!$M$3:$M$62&gt;=ROW()-2)),Overview!$T$3:$T$62)&lt;&gt;"","_"&amp;LOOKUP(2,1/((Overview!$L$3:$L$62&lt;=ROW()-2)*(Overview!$M$3:$M$62&gt;=ROW()-2)),Overview!$T$3:$T$62),"")&amp;IF(Q118&lt;&gt;"","_"&amp;Q118,"")&amp;IF(E118&lt;&gt;"","_"&amp;E118,"")&amp;LOOKUP(2,1/((Overview!$L$3:$L$62&lt;=ROW()-2)*(Overview!$M$3:$M$62&gt;=ROW()-2)),Overview!$X$3:$X$62))</f>
        <v/>
      </c>
      <c r="V118" t="str">
        <f t="shared" si="7"/>
        <v/>
      </c>
      <c r="W118" t="str">
        <f>IF(U118="","",O118&amp;IF(LOOKUP(2,1/((Overview!$L$3:$L$62&lt;=ROW()-2)*(Overview!$M$3:$M$62&gt;=ROW()-2)),Overview!$T$3:$T$62)&lt;&gt;"","_"&amp;LOOKUP(2,1/((Overview!$L$3:$L$62&lt;=ROW()-2)*(Overview!$M$3:$M$62&gt;=ROW()-2)),Overview!$T$3:$T$62),"")&amp;"_"&amp;IF(LEFT(LOWER(TRIM(F118)),3)="set",TRIM(F118),"Set"&amp;TRIM(F118))&amp;IF(Q118&lt;&gt;"","_"&amp;Q118,"")&amp;IF(E118&lt;&gt;"","_"&amp;E118,"")&amp;LOOKUP(2,1/((Overview!$L$3:$L$62&lt;=ROW()-2)*(Overview!$M$3:$M$62&gt;=ROW()-2)),Overview!$X$3:$X$62))</f>
        <v/>
      </c>
      <c r="X118" t="str">
        <f t="shared" si="8"/>
        <v/>
      </c>
    </row>
    <row r="119" spans="1:24" ht="13.9" thickBot="1">
      <c r="A119" s="5" t="str">
        <f>IF(ROW()-2&gt;SUMIFS(Overview!$K$3:$K$62,Overview!$N$3:$N$62,"OK"),"",LOOKUP(2,1/((Overview!$L$3:$L$62&lt;=ROW()-2)*(Overview!$M$3:$M$62&gt;=ROW()-2)),Overview!$R$3:$R$62))</f>
        <v/>
      </c>
      <c r="B119" s="5" t="str">
        <f>IF(A119="","",LOOKUP(2,1/((Overview!$L$3:$L$62&lt;=ROW()-2)*(Overview!$M$3:$M$62&gt;=ROW()-2)),Overview!$O$3:$O$62))</f>
        <v/>
      </c>
      <c r="C119" s="5" t="str">
        <f>IF(A119="","",LOOKUP(2,1/((Overview!$L$3:$L$62&lt;=ROW()-2)*(Overview!$M$3:$M$62&gt;=ROW()-2)),Overview!$Y$3:$Y$62))</f>
        <v/>
      </c>
      <c r="D119" s="113" t="str">
        <f>IF(A119="","",ROW()-2-LOOKUP(2,1/((Overview!$L$3:$L$62&lt;=ROW()-2)*(Overview!$M$3:$M$62&gt;=ROW()-2)),Overview!$L$3:$L$62)+1)</f>
        <v/>
      </c>
      <c r="E119" s="113" t="str">
        <f>IF(A119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19" s="113" t="str">
        <f>IF(A119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19" s="113" t="str">
        <f>IF(A119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19" s="113" t="str">
        <f>IF(A119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19" s="113" t="str">
        <f>IF(A119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19" s="113" t="str">
        <f>IF(A119="","","image"&amp;D119&amp;LOOKUP(2,1/((Overview!$L$3:$L$62&lt;=ROW()-2)*(Overview!$M$3:$M$62&gt;=ROW()-2)),Overview!$X$3:$X$62))</f>
        <v/>
      </c>
      <c r="K119" s="113" t="str">
        <f t="shared" si="9"/>
        <v/>
      </c>
      <c r="L119" s="111" t="str">
        <f>IF(U119="","",IF(V119=1,U119,IF(X119=1,W119,LEFT(W119,LEN(W119)-LEN(LOOKUP(2,1/((Overview!$L$3:$L$62&lt;=ROW()-2)*(Overview!$M$3:$M$62&gt;=ROW()-2)),Overview!$X$3:$X$62)))&amp;IF(COUNTIF($W$3:W119,W119)=1,"","__"&amp;COUNTIF($W$3:W119,W119))&amp;LOOKUP(2,1/((Overview!$L$3:$L$62&lt;=ROW()-2)*(Overview!$M$3:$M$62&gt;=ROW()-2)),Overview!$X$3:$X$62))))</f>
        <v/>
      </c>
      <c r="M119" s="5" t="str">
        <f>IF(A119="","",LOOKUP(2,1/((Overview!$L$3:$L$62&lt;=ROW()-2)*(Overview!$M$3:$M$62&gt;=ROW()-2)),Overview!$U$3:$U$62))</f>
        <v/>
      </c>
      <c r="N119" s="5" t="str">
        <f>IF(A119="","",LOOKUP(2,1/((Overview!$L$3:$L$62&lt;=ROW()-2)*(Overview!$M$3:$M$62&gt;=ROW()-2)),Overview!$V$3:$V$62))</f>
        <v/>
      </c>
      <c r="O119" s="5" t="str">
        <f>IF(A119="","",LOOKUP(2,1/((Overview!$L$3:$L$62&lt;=ROW()-2)*(Overview!$M$3:$M$62&gt;=ROW()-2)),Overview!$B$3:$B$62))</f>
        <v/>
      </c>
      <c r="P119" s="14" t="str">
        <f>IF(A119="","",LOOKUP(2,1/((Overview!$L$3:$L$62&lt;=ROW()-2)*(Overview!$M$3:$M$62&gt;=ROW()-2)),Overview!$S$3:$S$62))</f>
        <v/>
      </c>
      <c r="Q119" s="5" t="str">
        <f>IF(A119="","",LOOKUP(2,1/((Overview!$L$3:$L$62&lt;=ROW()-2)*(Overview!$M$3:$M$62&gt;=ROW()-2)),Overview!$C$3:$C$62))</f>
        <v/>
      </c>
      <c r="R119" s="22" t="str">
        <f>IF(E119="","",IF(AND(I119&lt;&gt;"",LOOKUP(2,1/((Overview!$L$3:$L$62&lt;=ROW()-2)*(Overview!$M$3:$M$62&gt;=ROW()-2)),Overview!$Z$3:$Z$62)&lt;&gt;""),LEFT(E119,LEN(E119)-LEN(I119))&amp;LOOKUP(2,1/((Overview!$L$3:$L$62&lt;=ROW()-2)*(Overview!$M$3:$M$62&gt;=ROW()-2)),Overview!$Z$3:$Z$62)&amp;" "&amp;I119,E119)&amp;IF(AND(Q119="",LOOKUP(2,1/((Overview!$L$3:$L$62&lt;=ROW()-2)*(Overview!$M$3:$M$62&gt;=ROW()-2)),Overview!$W$3:$W$62)=""),"",", "&amp;IF(Q119&lt;&gt;"",Q119,"")&amp;IF(AND(Q119&lt;&gt;"",LOOKUP(2,1/((Overview!$L$3:$L$62&lt;=ROW()-2)*(Overview!$M$3:$M$62&gt;=ROW()-2)),Overview!$W$3:$W$62)&lt;&gt;""),"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19" t="str">
        <f t="shared" si="6"/>
        <v/>
      </c>
      <c r="U119" s="10" t="str">
        <f>IF(A119="","",O119&amp;IF(LOOKUP(2,1/((Overview!$L$3:$L$62&lt;=ROW()-2)*(Overview!$M$3:$M$62&gt;=ROW()-2)),Overview!$T$3:$T$62)&lt;&gt;"","_"&amp;LOOKUP(2,1/((Overview!$L$3:$L$62&lt;=ROW()-2)*(Overview!$M$3:$M$62&gt;=ROW()-2)),Overview!$T$3:$T$62),"")&amp;IF(Q119&lt;&gt;"","_"&amp;Q119,"")&amp;IF(E119&lt;&gt;"","_"&amp;E119,"")&amp;LOOKUP(2,1/((Overview!$L$3:$L$62&lt;=ROW()-2)*(Overview!$M$3:$M$62&gt;=ROW()-2)),Overview!$X$3:$X$62))</f>
        <v/>
      </c>
      <c r="V119" t="str">
        <f t="shared" si="7"/>
        <v/>
      </c>
      <c r="W119" t="str">
        <f>IF(U119="","",O119&amp;IF(LOOKUP(2,1/((Overview!$L$3:$L$62&lt;=ROW()-2)*(Overview!$M$3:$M$62&gt;=ROW()-2)),Overview!$T$3:$T$62)&lt;&gt;"","_"&amp;LOOKUP(2,1/((Overview!$L$3:$L$62&lt;=ROW()-2)*(Overview!$M$3:$M$62&gt;=ROW()-2)),Overview!$T$3:$T$62),"")&amp;"_"&amp;IF(LEFT(LOWER(TRIM(F119)),3)="set",TRIM(F119),"Set"&amp;TRIM(F119))&amp;IF(Q119&lt;&gt;"","_"&amp;Q119,"")&amp;IF(E119&lt;&gt;"","_"&amp;E119,"")&amp;LOOKUP(2,1/((Overview!$L$3:$L$62&lt;=ROW()-2)*(Overview!$M$3:$M$62&gt;=ROW()-2)),Overview!$X$3:$X$62))</f>
        <v/>
      </c>
      <c r="X119" t="str">
        <f t="shared" si="8"/>
        <v/>
      </c>
    </row>
    <row r="120" spans="1:24" ht="13.9" thickBot="1">
      <c r="A120" s="5" t="str">
        <f>IF(ROW()-2&gt;SUMIFS(Overview!$K$3:$K$62,Overview!$N$3:$N$62,"OK"),"",LOOKUP(2,1/((Overview!$L$3:$L$62&lt;=ROW()-2)*(Overview!$M$3:$M$62&gt;=ROW()-2)),Overview!$R$3:$R$62))</f>
        <v/>
      </c>
      <c r="B120" s="5" t="str">
        <f>IF(A120="","",LOOKUP(2,1/((Overview!$L$3:$L$62&lt;=ROW()-2)*(Overview!$M$3:$M$62&gt;=ROW()-2)),Overview!$O$3:$O$62))</f>
        <v/>
      </c>
      <c r="C120" s="5" t="str">
        <f>IF(A120="","",LOOKUP(2,1/((Overview!$L$3:$L$62&lt;=ROW()-2)*(Overview!$M$3:$M$62&gt;=ROW()-2)),Overview!$Y$3:$Y$62))</f>
        <v/>
      </c>
      <c r="D120" s="113" t="str">
        <f>IF(A120="","",ROW()-2-LOOKUP(2,1/((Overview!$L$3:$L$62&lt;=ROW()-2)*(Overview!$M$3:$M$62&gt;=ROW()-2)),Overview!$L$3:$L$62)+1)</f>
        <v/>
      </c>
      <c r="E120" s="113" t="str">
        <f>IF(A120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0" s="113" t="str">
        <f>IF(A120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0" s="113" t="str">
        <f>IF(A120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0" s="113" t="str">
        <f>IF(A120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0" s="113" t="str">
        <f>IF(A120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0" s="113" t="str">
        <f>IF(A120="","","image"&amp;D120&amp;LOOKUP(2,1/((Overview!$L$3:$L$62&lt;=ROW()-2)*(Overview!$M$3:$M$62&gt;=ROW()-2)),Overview!$X$3:$X$62))</f>
        <v/>
      </c>
      <c r="K120" s="113" t="str">
        <f t="shared" si="9"/>
        <v/>
      </c>
      <c r="L120" s="111" t="str">
        <f>IF(U120="","",IF(V120=1,U120,IF(X120=1,W120,LEFT(W120,LEN(W120)-LEN(LOOKUP(2,1/((Overview!$L$3:$L$62&lt;=ROW()-2)*(Overview!$M$3:$M$62&gt;=ROW()-2)),Overview!$X$3:$X$62)))&amp;IF(COUNTIF($W$3:W120,W120)=1,"","__"&amp;COUNTIF($W$3:W120,W120))&amp;LOOKUP(2,1/((Overview!$L$3:$L$62&lt;=ROW()-2)*(Overview!$M$3:$M$62&gt;=ROW()-2)),Overview!$X$3:$X$62))))</f>
        <v/>
      </c>
      <c r="M120" s="5" t="str">
        <f>IF(A120="","",LOOKUP(2,1/((Overview!$L$3:$L$62&lt;=ROW()-2)*(Overview!$M$3:$M$62&gt;=ROW()-2)),Overview!$U$3:$U$62))</f>
        <v/>
      </c>
      <c r="N120" s="5" t="str">
        <f>IF(A120="","",LOOKUP(2,1/((Overview!$L$3:$L$62&lt;=ROW()-2)*(Overview!$M$3:$M$62&gt;=ROW()-2)),Overview!$V$3:$V$62))</f>
        <v/>
      </c>
      <c r="O120" s="5" t="str">
        <f>IF(A120="","",LOOKUP(2,1/((Overview!$L$3:$L$62&lt;=ROW()-2)*(Overview!$M$3:$M$62&gt;=ROW()-2)),Overview!$B$3:$B$62))</f>
        <v/>
      </c>
      <c r="P120" s="14" t="str">
        <f>IF(A120="","",LOOKUP(2,1/((Overview!$L$3:$L$62&lt;=ROW()-2)*(Overview!$M$3:$M$62&gt;=ROW()-2)),Overview!$S$3:$S$62))</f>
        <v/>
      </c>
      <c r="Q120" s="5" t="str">
        <f>IF(A120="","",LOOKUP(2,1/((Overview!$L$3:$L$62&lt;=ROW()-2)*(Overview!$M$3:$M$62&gt;=ROW()-2)),Overview!$C$3:$C$62))</f>
        <v/>
      </c>
      <c r="R120" s="22" t="str">
        <f>IF(E120="","",IF(AND(I120&lt;&gt;"",LOOKUP(2,1/((Overview!$L$3:$L$62&lt;=ROW()-2)*(Overview!$M$3:$M$62&gt;=ROW()-2)),Overview!$Z$3:$Z$62)&lt;&gt;""),LEFT(E120,LEN(E120)-LEN(I120))&amp;LOOKUP(2,1/((Overview!$L$3:$L$62&lt;=ROW()-2)*(Overview!$M$3:$M$62&gt;=ROW()-2)),Overview!$Z$3:$Z$62)&amp;" "&amp;I120,E120)&amp;IF(AND(Q120="",LOOKUP(2,1/((Overview!$L$3:$L$62&lt;=ROW()-2)*(Overview!$M$3:$M$62&gt;=ROW()-2)),Overview!$W$3:$W$62)=""),"",", "&amp;IF(Q120&lt;&gt;"",Q120,"")&amp;IF(AND(Q120&lt;&gt;"",LOOKUP(2,1/((Overview!$L$3:$L$62&lt;=ROW()-2)*(Overview!$M$3:$M$62&gt;=ROW()-2)),Overview!$W$3:$W$62)&lt;&gt;""),"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0" t="str">
        <f t="shared" si="6"/>
        <v/>
      </c>
      <c r="U120" s="10" t="str">
        <f>IF(A120="","",O120&amp;IF(LOOKUP(2,1/((Overview!$L$3:$L$62&lt;=ROW()-2)*(Overview!$M$3:$M$62&gt;=ROW()-2)),Overview!$T$3:$T$62)&lt;&gt;"","_"&amp;LOOKUP(2,1/((Overview!$L$3:$L$62&lt;=ROW()-2)*(Overview!$M$3:$M$62&gt;=ROW()-2)),Overview!$T$3:$T$62),"")&amp;IF(Q120&lt;&gt;"","_"&amp;Q120,"")&amp;IF(E120&lt;&gt;"","_"&amp;E120,"")&amp;LOOKUP(2,1/((Overview!$L$3:$L$62&lt;=ROW()-2)*(Overview!$M$3:$M$62&gt;=ROW()-2)),Overview!$X$3:$X$62))</f>
        <v/>
      </c>
      <c r="V120" t="str">
        <f t="shared" si="7"/>
        <v/>
      </c>
      <c r="W120" t="str">
        <f>IF(U120="","",O120&amp;IF(LOOKUP(2,1/((Overview!$L$3:$L$62&lt;=ROW()-2)*(Overview!$M$3:$M$62&gt;=ROW()-2)),Overview!$T$3:$T$62)&lt;&gt;"","_"&amp;LOOKUP(2,1/((Overview!$L$3:$L$62&lt;=ROW()-2)*(Overview!$M$3:$M$62&gt;=ROW()-2)),Overview!$T$3:$T$62),"")&amp;"_"&amp;IF(LEFT(LOWER(TRIM(F120)),3)="set",TRIM(F120),"Set"&amp;TRIM(F120))&amp;IF(Q120&lt;&gt;"","_"&amp;Q120,"")&amp;IF(E120&lt;&gt;"","_"&amp;E120,"")&amp;LOOKUP(2,1/((Overview!$L$3:$L$62&lt;=ROW()-2)*(Overview!$M$3:$M$62&gt;=ROW()-2)),Overview!$X$3:$X$62))</f>
        <v/>
      </c>
      <c r="X120" t="str">
        <f t="shared" si="8"/>
        <v/>
      </c>
    </row>
    <row r="121" spans="1:24" ht="13.9" thickBot="1">
      <c r="A121" s="5" t="str">
        <f>IF(ROW()-2&gt;SUMIFS(Overview!$K$3:$K$62,Overview!$N$3:$N$62,"OK"),"",LOOKUP(2,1/((Overview!$L$3:$L$62&lt;=ROW()-2)*(Overview!$M$3:$M$62&gt;=ROW()-2)),Overview!$R$3:$R$62))</f>
        <v/>
      </c>
      <c r="B121" s="5" t="str">
        <f>IF(A121="","",LOOKUP(2,1/((Overview!$L$3:$L$62&lt;=ROW()-2)*(Overview!$M$3:$M$62&gt;=ROW()-2)),Overview!$O$3:$O$62))</f>
        <v/>
      </c>
      <c r="C121" s="5" t="str">
        <f>IF(A121="","",LOOKUP(2,1/((Overview!$L$3:$L$62&lt;=ROW()-2)*(Overview!$M$3:$M$62&gt;=ROW()-2)),Overview!$Y$3:$Y$62))</f>
        <v/>
      </c>
      <c r="D121" s="113" t="str">
        <f>IF(A121="","",ROW()-2-LOOKUP(2,1/((Overview!$L$3:$L$62&lt;=ROW()-2)*(Overview!$M$3:$M$62&gt;=ROW()-2)),Overview!$L$3:$L$62)+1)</f>
        <v/>
      </c>
      <c r="E121" s="113" t="str">
        <f>IF(A121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1" s="113" t="str">
        <f>IF(A121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1" s="113" t="str">
        <f>IF(A121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1" s="113" t="str">
        <f>IF(A121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1" s="113" t="str">
        <f>IF(A121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1" s="113" t="str">
        <f>IF(A121="","","image"&amp;D121&amp;LOOKUP(2,1/((Overview!$L$3:$L$62&lt;=ROW()-2)*(Overview!$M$3:$M$62&gt;=ROW()-2)),Overview!$X$3:$X$62))</f>
        <v/>
      </c>
      <c r="K121" s="113" t="str">
        <f t="shared" si="9"/>
        <v/>
      </c>
      <c r="L121" s="111" t="str">
        <f>IF(U121="","",IF(V121=1,U121,IF(X121=1,W121,LEFT(W121,LEN(W121)-LEN(LOOKUP(2,1/((Overview!$L$3:$L$62&lt;=ROW()-2)*(Overview!$M$3:$M$62&gt;=ROW()-2)),Overview!$X$3:$X$62)))&amp;IF(COUNTIF($W$3:W121,W121)=1,"","__"&amp;COUNTIF($W$3:W121,W121))&amp;LOOKUP(2,1/((Overview!$L$3:$L$62&lt;=ROW()-2)*(Overview!$M$3:$M$62&gt;=ROW()-2)),Overview!$X$3:$X$62))))</f>
        <v/>
      </c>
      <c r="M121" s="5" t="str">
        <f>IF(A121="","",LOOKUP(2,1/((Overview!$L$3:$L$62&lt;=ROW()-2)*(Overview!$M$3:$M$62&gt;=ROW()-2)),Overview!$U$3:$U$62))</f>
        <v/>
      </c>
      <c r="N121" s="5" t="str">
        <f>IF(A121="","",LOOKUP(2,1/((Overview!$L$3:$L$62&lt;=ROW()-2)*(Overview!$M$3:$M$62&gt;=ROW()-2)),Overview!$V$3:$V$62))</f>
        <v/>
      </c>
      <c r="O121" s="5" t="str">
        <f>IF(A121="","",LOOKUP(2,1/((Overview!$L$3:$L$62&lt;=ROW()-2)*(Overview!$M$3:$M$62&gt;=ROW()-2)),Overview!$B$3:$B$62))</f>
        <v/>
      </c>
      <c r="P121" s="14" t="str">
        <f>IF(A121="","",LOOKUP(2,1/((Overview!$L$3:$L$62&lt;=ROW()-2)*(Overview!$M$3:$M$62&gt;=ROW()-2)),Overview!$S$3:$S$62))</f>
        <v/>
      </c>
      <c r="Q121" s="5" t="str">
        <f>IF(A121="","",LOOKUP(2,1/((Overview!$L$3:$L$62&lt;=ROW()-2)*(Overview!$M$3:$M$62&gt;=ROW()-2)),Overview!$C$3:$C$62))</f>
        <v/>
      </c>
      <c r="R121" s="22" t="str">
        <f>IF(E121="","",IF(AND(I121&lt;&gt;"",LOOKUP(2,1/((Overview!$L$3:$L$62&lt;=ROW()-2)*(Overview!$M$3:$M$62&gt;=ROW()-2)),Overview!$Z$3:$Z$62)&lt;&gt;""),LEFT(E121,LEN(E121)-LEN(I121))&amp;LOOKUP(2,1/((Overview!$L$3:$L$62&lt;=ROW()-2)*(Overview!$M$3:$M$62&gt;=ROW()-2)),Overview!$Z$3:$Z$62)&amp;" "&amp;I121,E121)&amp;IF(AND(Q121="",LOOKUP(2,1/((Overview!$L$3:$L$62&lt;=ROW()-2)*(Overview!$M$3:$M$62&gt;=ROW()-2)),Overview!$W$3:$W$62)=""),"",", "&amp;IF(Q121&lt;&gt;"",Q121,"")&amp;IF(AND(Q121&lt;&gt;"",LOOKUP(2,1/((Overview!$L$3:$L$62&lt;=ROW()-2)*(Overview!$M$3:$M$62&gt;=ROW()-2)),Overview!$W$3:$W$62)&lt;&gt;""),"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1" t="str">
        <f t="shared" si="6"/>
        <v/>
      </c>
      <c r="U121" s="10" t="str">
        <f>IF(A121="","",O121&amp;IF(LOOKUP(2,1/((Overview!$L$3:$L$62&lt;=ROW()-2)*(Overview!$M$3:$M$62&gt;=ROW()-2)),Overview!$T$3:$T$62)&lt;&gt;"","_"&amp;LOOKUP(2,1/((Overview!$L$3:$L$62&lt;=ROW()-2)*(Overview!$M$3:$M$62&gt;=ROW()-2)),Overview!$T$3:$T$62),"")&amp;IF(Q121&lt;&gt;"","_"&amp;Q121,"")&amp;IF(E121&lt;&gt;"","_"&amp;E121,"")&amp;LOOKUP(2,1/((Overview!$L$3:$L$62&lt;=ROW()-2)*(Overview!$M$3:$M$62&gt;=ROW()-2)),Overview!$X$3:$X$62))</f>
        <v/>
      </c>
      <c r="V121" t="str">
        <f t="shared" si="7"/>
        <v/>
      </c>
      <c r="W121" t="str">
        <f>IF(U121="","",O121&amp;IF(LOOKUP(2,1/((Overview!$L$3:$L$62&lt;=ROW()-2)*(Overview!$M$3:$M$62&gt;=ROW()-2)),Overview!$T$3:$T$62)&lt;&gt;"","_"&amp;LOOKUP(2,1/((Overview!$L$3:$L$62&lt;=ROW()-2)*(Overview!$M$3:$M$62&gt;=ROW()-2)),Overview!$T$3:$T$62),"")&amp;"_"&amp;IF(LEFT(LOWER(TRIM(F121)),3)="set",TRIM(F121),"Set"&amp;TRIM(F121))&amp;IF(Q121&lt;&gt;"","_"&amp;Q121,"")&amp;IF(E121&lt;&gt;"","_"&amp;E121,"")&amp;LOOKUP(2,1/((Overview!$L$3:$L$62&lt;=ROW()-2)*(Overview!$M$3:$M$62&gt;=ROW()-2)),Overview!$X$3:$X$62))</f>
        <v/>
      </c>
      <c r="X121" t="str">
        <f t="shared" si="8"/>
        <v/>
      </c>
    </row>
    <row r="122" spans="1:24" ht="13.9" thickBot="1">
      <c r="A122" s="5" t="str">
        <f>IF(ROW()-2&gt;SUMIFS(Overview!$K$3:$K$62,Overview!$N$3:$N$62,"OK"),"",LOOKUP(2,1/((Overview!$L$3:$L$62&lt;=ROW()-2)*(Overview!$M$3:$M$62&gt;=ROW()-2)),Overview!$R$3:$R$62))</f>
        <v/>
      </c>
      <c r="B122" s="5" t="str">
        <f>IF(A122="","",LOOKUP(2,1/((Overview!$L$3:$L$62&lt;=ROW()-2)*(Overview!$M$3:$M$62&gt;=ROW()-2)),Overview!$O$3:$O$62))</f>
        <v/>
      </c>
      <c r="C122" s="5" t="str">
        <f>IF(A122="","",LOOKUP(2,1/((Overview!$L$3:$L$62&lt;=ROW()-2)*(Overview!$M$3:$M$62&gt;=ROW()-2)),Overview!$Y$3:$Y$62))</f>
        <v/>
      </c>
      <c r="D122" s="113" t="str">
        <f>IF(A122="","",ROW()-2-LOOKUP(2,1/((Overview!$L$3:$L$62&lt;=ROW()-2)*(Overview!$M$3:$M$62&gt;=ROW()-2)),Overview!$L$3:$L$62)+1)</f>
        <v/>
      </c>
      <c r="E122" s="113" t="str">
        <f>IF(A122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2" s="113" t="str">
        <f>IF(A122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2" s="113" t="str">
        <f>IF(A122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2" s="113" t="str">
        <f>IF(A122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2" s="113" t="str">
        <f>IF(A122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2" s="113" t="str">
        <f>IF(A122="","","image"&amp;D122&amp;LOOKUP(2,1/((Overview!$L$3:$L$62&lt;=ROW()-2)*(Overview!$M$3:$M$62&gt;=ROW()-2)),Overview!$X$3:$X$62))</f>
        <v/>
      </c>
      <c r="K122" s="113" t="str">
        <f t="shared" si="9"/>
        <v/>
      </c>
      <c r="L122" s="111" t="str">
        <f>IF(U122="","",IF(V122=1,U122,IF(X122=1,W122,LEFT(W122,LEN(W122)-LEN(LOOKUP(2,1/((Overview!$L$3:$L$62&lt;=ROW()-2)*(Overview!$M$3:$M$62&gt;=ROW()-2)),Overview!$X$3:$X$62)))&amp;IF(COUNTIF($W$3:W122,W122)=1,"","__"&amp;COUNTIF($W$3:W122,W122))&amp;LOOKUP(2,1/((Overview!$L$3:$L$62&lt;=ROW()-2)*(Overview!$M$3:$M$62&gt;=ROW()-2)),Overview!$X$3:$X$62))))</f>
        <v/>
      </c>
      <c r="M122" s="5" t="str">
        <f>IF(A122="","",LOOKUP(2,1/((Overview!$L$3:$L$62&lt;=ROW()-2)*(Overview!$M$3:$M$62&gt;=ROW()-2)),Overview!$U$3:$U$62))</f>
        <v/>
      </c>
      <c r="N122" s="5" t="str">
        <f>IF(A122="","",LOOKUP(2,1/((Overview!$L$3:$L$62&lt;=ROW()-2)*(Overview!$M$3:$M$62&gt;=ROW()-2)),Overview!$V$3:$V$62))</f>
        <v/>
      </c>
      <c r="O122" s="5" t="str">
        <f>IF(A122="","",LOOKUP(2,1/((Overview!$L$3:$L$62&lt;=ROW()-2)*(Overview!$M$3:$M$62&gt;=ROW()-2)),Overview!$B$3:$B$62))</f>
        <v/>
      </c>
      <c r="P122" s="14" t="str">
        <f>IF(A122="","",LOOKUP(2,1/((Overview!$L$3:$L$62&lt;=ROW()-2)*(Overview!$M$3:$M$62&gt;=ROW()-2)),Overview!$S$3:$S$62))</f>
        <v/>
      </c>
      <c r="Q122" s="5" t="str">
        <f>IF(A122="","",LOOKUP(2,1/((Overview!$L$3:$L$62&lt;=ROW()-2)*(Overview!$M$3:$M$62&gt;=ROW()-2)),Overview!$C$3:$C$62))</f>
        <v/>
      </c>
      <c r="R122" s="22" t="str">
        <f>IF(E122="","",IF(AND(I122&lt;&gt;"",LOOKUP(2,1/((Overview!$L$3:$L$62&lt;=ROW()-2)*(Overview!$M$3:$M$62&gt;=ROW()-2)),Overview!$Z$3:$Z$62)&lt;&gt;""),LEFT(E122,LEN(E122)-LEN(I122))&amp;LOOKUP(2,1/((Overview!$L$3:$L$62&lt;=ROW()-2)*(Overview!$M$3:$M$62&gt;=ROW()-2)),Overview!$Z$3:$Z$62)&amp;" "&amp;I122,E122)&amp;IF(AND(Q122="",LOOKUP(2,1/((Overview!$L$3:$L$62&lt;=ROW()-2)*(Overview!$M$3:$M$62&gt;=ROW()-2)),Overview!$W$3:$W$62)=""),"",", "&amp;IF(Q122&lt;&gt;"",Q122,"")&amp;IF(AND(Q122&lt;&gt;"",LOOKUP(2,1/((Overview!$L$3:$L$62&lt;=ROW()-2)*(Overview!$M$3:$M$62&gt;=ROW()-2)),Overview!$W$3:$W$62)&lt;&gt;""),"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2" t="str">
        <f t="shared" si="6"/>
        <v/>
      </c>
      <c r="U122" s="10" t="str">
        <f>IF(A122="","",O122&amp;IF(LOOKUP(2,1/((Overview!$L$3:$L$62&lt;=ROW()-2)*(Overview!$M$3:$M$62&gt;=ROW()-2)),Overview!$T$3:$T$62)&lt;&gt;"","_"&amp;LOOKUP(2,1/((Overview!$L$3:$L$62&lt;=ROW()-2)*(Overview!$M$3:$M$62&gt;=ROW()-2)),Overview!$T$3:$T$62),"")&amp;IF(Q122&lt;&gt;"","_"&amp;Q122,"")&amp;IF(E122&lt;&gt;"","_"&amp;E122,"")&amp;LOOKUP(2,1/((Overview!$L$3:$L$62&lt;=ROW()-2)*(Overview!$M$3:$M$62&gt;=ROW()-2)),Overview!$X$3:$X$62))</f>
        <v/>
      </c>
      <c r="V122" t="str">
        <f t="shared" si="7"/>
        <v/>
      </c>
      <c r="W122" t="str">
        <f>IF(U122="","",O122&amp;IF(LOOKUP(2,1/((Overview!$L$3:$L$62&lt;=ROW()-2)*(Overview!$M$3:$M$62&gt;=ROW()-2)),Overview!$T$3:$T$62)&lt;&gt;"","_"&amp;LOOKUP(2,1/((Overview!$L$3:$L$62&lt;=ROW()-2)*(Overview!$M$3:$M$62&gt;=ROW()-2)),Overview!$T$3:$T$62),"")&amp;"_"&amp;IF(LEFT(LOWER(TRIM(F122)),3)="set",TRIM(F122),"Set"&amp;TRIM(F122))&amp;IF(Q122&lt;&gt;"","_"&amp;Q122,"")&amp;IF(E122&lt;&gt;"","_"&amp;E122,"")&amp;LOOKUP(2,1/((Overview!$L$3:$L$62&lt;=ROW()-2)*(Overview!$M$3:$M$62&gt;=ROW()-2)),Overview!$X$3:$X$62))</f>
        <v/>
      </c>
      <c r="X122" t="str">
        <f t="shared" si="8"/>
        <v/>
      </c>
    </row>
    <row r="123" spans="1:24" ht="13.9" thickBot="1">
      <c r="A123" s="5" t="str">
        <f>IF(ROW()-2&gt;SUMIFS(Overview!$K$3:$K$62,Overview!$N$3:$N$62,"OK"),"",LOOKUP(2,1/((Overview!$L$3:$L$62&lt;=ROW()-2)*(Overview!$M$3:$M$62&gt;=ROW()-2)),Overview!$R$3:$R$62))</f>
        <v/>
      </c>
      <c r="B123" s="5" t="str">
        <f>IF(A123="","",LOOKUP(2,1/((Overview!$L$3:$L$62&lt;=ROW()-2)*(Overview!$M$3:$M$62&gt;=ROW()-2)),Overview!$O$3:$O$62))</f>
        <v/>
      </c>
      <c r="C123" s="5" t="str">
        <f>IF(A123="","",LOOKUP(2,1/((Overview!$L$3:$L$62&lt;=ROW()-2)*(Overview!$M$3:$M$62&gt;=ROW()-2)),Overview!$Y$3:$Y$62))</f>
        <v/>
      </c>
      <c r="D123" s="113" t="str">
        <f>IF(A123="","",ROW()-2-LOOKUP(2,1/((Overview!$L$3:$L$62&lt;=ROW()-2)*(Overview!$M$3:$M$62&gt;=ROW()-2)),Overview!$L$3:$L$62)+1)</f>
        <v/>
      </c>
      <c r="E123" s="113" t="str">
        <f>IF(A123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3" s="113" t="str">
        <f>IF(A123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3" s="113" t="str">
        <f>IF(A123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3" s="113" t="str">
        <f>IF(A123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3" s="113" t="str">
        <f>IF(A123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3" s="113" t="str">
        <f>IF(A123="","","image"&amp;D123&amp;LOOKUP(2,1/((Overview!$L$3:$L$62&lt;=ROW()-2)*(Overview!$M$3:$M$62&gt;=ROW()-2)),Overview!$X$3:$X$62))</f>
        <v/>
      </c>
      <c r="K123" s="113" t="str">
        <f t="shared" si="9"/>
        <v/>
      </c>
      <c r="L123" s="111" t="str">
        <f>IF(U123="","",IF(V123=1,U123,IF(X123=1,W123,LEFT(W123,LEN(W123)-LEN(LOOKUP(2,1/((Overview!$L$3:$L$62&lt;=ROW()-2)*(Overview!$M$3:$M$62&gt;=ROW()-2)),Overview!$X$3:$X$62)))&amp;IF(COUNTIF($W$3:W123,W123)=1,"","__"&amp;COUNTIF($W$3:W123,W123))&amp;LOOKUP(2,1/((Overview!$L$3:$L$62&lt;=ROW()-2)*(Overview!$M$3:$M$62&gt;=ROW()-2)),Overview!$X$3:$X$62))))</f>
        <v/>
      </c>
      <c r="M123" s="5" t="str">
        <f>IF(A123="","",LOOKUP(2,1/((Overview!$L$3:$L$62&lt;=ROW()-2)*(Overview!$M$3:$M$62&gt;=ROW()-2)),Overview!$U$3:$U$62))</f>
        <v/>
      </c>
      <c r="N123" s="5" t="str">
        <f>IF(A123="","",LOOKUP(2,1/((Overview!$L$3:$L$62&lt;=ROW()-2)*(Overview!$M$3:$M$62&gt;=ROW()-2)),Overview!$V$3:$V$62))</f>
        <v/>
      </c>
      <c r="O123" s="5" t="str">
        <f>IF(A123="","",LOOKUP(2,1/((Overview!$L$3:$L$62&lt;=ROW()-2)*(Overview!$M$3:$M$62&gt;=ROW()-2)),Overview!$B$3:$B$62))</f>
        <v/>
      </c>
      <c r="P123" s="14" t="str">
        <f>IF(A123="","",LOOKUP(2,1/((Overview!$L$3:$L$62&lt;=ROW()-2)*(Overview!$M$3:$M$62&gt;=ROW()-2)),Overview!$S$3:$S$62))</f>
        <v/>
      </c>
      <c r="Q123" s="5" t="str">
        <f>IF(A123="","",LOOKUP(2,1/((Overview!$L$3:$L$62&lt;=ROW()-2)*(Overview!$M$3:$M$62&gt;=ROW()-2)),Overview!$C$3:$C$62))</f>
        <v/>
      </c>
      <c r="R123" s="22" t="str">
        <f>IF(E123="","",IF(AND(I123&lt;&gt;"",LOOKUP(2,1/((Overview!$L$3:$L$62&lt;=ROW()-2)*(Overview!$M$3:$M$62&gt;=ROW()-2)),Overview!$Z$3:$Z$62)&lt;&gt;""),LEFT(E123,LEN(E123)-LEN(I123))&amp;LOOKUP(2,1/((Overview!$L$3:$L$62&lt;=ROW()-2)*(Overview!$M$3:$M$62&gt;=ROW()-2)),Overview!$Z$3:$Z$62)&amp;" "&amp;I123,E123)&amp;IF(AND(Q123="",LOOKUP(2,1/((Overview!$L$3:$L$62&lt;=ROW()-2)*(Overview!$M$3:$M$62&gt;=ROW()-2)),Overview!$W$3:$W$62)=""),"",", "&amp;IF(Q123&lt;&gt;"",Q123,"")&amp;IF(AND(Q123&lt;&gt;"",LOOKUP(2,1/((Overview!$L$3:$L$62&lt;=ROW()-2)*(Overview!$M$3:$M$62&gt;=ROW()-2)),Overview!$W$3:$W$62)&lt;&gt;""),"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3" t="str">
        <f t="shared" si="6"/>
        <v/>
      </c>
      <c r="U123" s="10" t="str">
        <f>IF(A123="","",O123&amp;IF(LOOKUP(2,1/((Overview!$L$3:$L$62&lt;=ROW()-2)*(Overview!$M$3:$M$62&gt;=ROW()-2)),Overview!$T$3:$T$62)&lt;&gt;"","_"&amp;LOOKUP(2,1/((Overview!$L$3:$L$62&lt;=ROW()-2)*(Overview!$M$3:$M$62&gt;=ROW()-2)),Overview!$T$3:$T$62),"")&amp;IF(Q123&lt;&gt;"","_"&amp;Q123,"")&amp;IF(E123&lt;&gt;"","_"&amp;E123,"")&amp;LOOKUP(2,1/((Overview!$L$3:$L$62&lt;=ROW()-2)*(Overview!$M$3:$M$62&gt;=ROW()-2)),Overview!$X$3:$X$62))</f>
        <v/>
      </c>
      <c r="V123" t="str">
        <f t="shared" si="7"/>
        <v/>
      </c>
      <c r="W123" t="str">
        <f>IF(U123="","",O123&amp;IF(LOOKUP(2,1/((Overview!$L$3:$L$62&lt;=ROW()-2)*(Overview!$M$3:$M$62&gt;=ROW()-2)),Overview!$T$3:$T$62)&lt;&gt;"","_"&amp;LOOKUP(2,1/((Overview!$L$3:$L$62&lt;=ROW()-2)*(Overview!$M$3:$M$62&gt;=ROW()-2)),Overview!$T$3:$T$62),"")&amp;"_"&amp;IF(LEFT(LOWER(TRIM(F123)),3)="set",TRIM(F123),"Set"&amp;TRIM(F123))&amp;IF(Q123&lt;&gt;"","_"&amp;Q123,"")&amp;IF(E123&lt;&gt;"","_"&amp;E123,"")&amp;LOOKUP(2,1/((Overview!$L$3:$L$62&lt;=ROW()-2)*(Overview!$M$3:$M$62&gt;=ROW()-2)),Overview!$X$3:$X$62))</f>
        <v/>
      </c>
      <c r="X123" t="str">
        <f t="shared" si="8"/>
        <v/>
      </c>
    </row>
    <row r="124" spans="1:24" ht="13.9" thickBot="1">
      <c r="A124" s="5" t="str">
        <f>IF(ROW()-2&gt;SUMIFS(Overview!$K$3:$K$62,Overview!$N$3:$N$62,"OK"),"",LOOKUP(2,1/((Overview!$L$3:$L$62&lt;=ROW()-2)*(Overview!$M$3:$M$62&gt;=ROW()-2)),Overview!$R$3:$R$62))</f>
        <v/>
      </c>
      <c r="B124" s="5" t="str">
        <f>IF(A124="","",LOOKUP(2,1/((Overview!$L$3:$L$62&lt;=ROW()-2)*(Overview!$M$3:$M$62&gt;=ROW()-2)),Overview!$O$3:$O$62))</f>
        <v/>
      </c>
      <c r="C124" s="5" t="str">
        <f>IF(A124="","",LOOKUP(2,1/((Overview!$L$3:$L$62&lt;=ROW()-2)*(Overview!$M$3:$M$62&gt;=ROW()-2)),Overview!$Y$3:$Y$62))</f>
        <v/>
      </c>
      <c r="D124" s="113" t="str">
        <f>IF(A124="","",ROW()-2-LOOKUP(2,1/((Overview!$L$3:$L$62&lt;=ROW()-2)*(Overview!$M$3:$M$62&gt;=ROW()-2)),Overview!$L$3:$L$62)+1)</f>
        <v/>
      </c>
      <c r="E124" s="113" t="str">
        <f>IF(A124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4" s="113" t="str">
        <f>IF(A124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4" s="113" t="str">
        <f>IF(A124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4" s="113" t="str">
        <f>IF(A124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4" s="113" t="str">
        <f>IF(A124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4" s="113" t="str">
        <f>IF(A124="","","image"&amp;D124&amp;LOOKUP(2,1/((Overview!$L$3:$L$62&lt;=ROW()-2)*(Overview!$M$3:$M$62&gt;=ROW()-2)),Overview!$X$3:$X$62))</f>
        <v/>
      </c>
      <c r="K124" s="113" t="str">
        <f t="shared" si="9"/>
        <v/>
      </c>
      <c r="L124" s="111" t="str">
        <f>IF(U124="","",IF(V124=1,U124,IF(X124=1,W124,LEFT(W124,LEN(W124)-LEN(LOOKUP(2,1/((Overview!$L$3:$L$62&lt;=ROW()-2)*(Overview!$M$3:$M$62&gt;=ROW()-2)),Overview!$X$3:$X$62)))&amp;IF(COUNTIF($W$3:W124,W124)=1,"","__"&amp;COUNTIF($W$3:W124,W124))&amp;LOOKUP(2,1/((Overview!$L$3:$L$62&lt;=ROW()-2)*(Overview!$M$3:$M$62&gt;=ROW()-2)),Overview!$X$3:$X$62))))</f>
        <v/>
      </c>
      <c r="M124" s="5" t="str">
        <f>IF(A124="","",LOOKUP(2,1/((Overview!$L$3:$L$62&lt;=ROW()-2)*(Overview!$M$3:$M$62&gt;=ROW()-2)),Overview!$U$3:$U$62))</f>
        <v/>
      </c>
      <c r="N124" s="5" t="str">
        <f>IF(A124="","",LOOKUP(2,1/((Overview!$L$3:$L$62&lt;=ROW()-2)*(Overview!$M$3:$M$62&gt;=ROW()-2)),Overview!$V$3:$V$62))</f>
        <v/>
      </c>
      <c r="O124" s="5" t="str">
        <f>IF(A124="","",LOOKUP(2,1/((Overview!$L$3:$L$62&lt;=ROW()-2)*(Overview!$M$3:$M$62&gt;=ROW()-2)),Overview!$B$3:$B$62))</f>
        <v/>
      </c>
      <c r="P124" s="14" t="str">
        <f>IF(A124="","",LOOKUP(2,1/((Overview!$L$3:$L$62&lt;=ROW()-2)*(Overview!$M$3:$M$62&gt;=ROW()-2)),Overview!$S$3:$S$62))</f>
        <v/>
      </c>
      <c r="Q124" s="5" t="str">
        <f>IF(A124="","",LOOKUP(2,1/((Overview!$L$3:$L$62&lt;=ROW()-2)*(Overview!$M$3:$M$62&gt;=ROW()-2)),Overview!$C$3:$C$62))</f>
        <v/>
      </c>
      <c r="R124" s="22" t="str">
        <f>IF(E124="","",IF(AND(I124&lt;&gt;"",LOOKUP(2,1/((Overview!$L$3:$L$62&lt;=ROW()-2)*(Overview!$M$3:$M$62&gt;=ROW()-2)),Overview!$Z$3:$Z$62)&lt;&gt;""),LEFT(E124,LEN(E124)-LEN(I124))&amp;LOOKUP(2,1/((Overview!$L$3:$L$62&lt;=ROW()-2)*(Overview!$M$3:$M$62&gt;=ROW()-2)),Overview!$Z$3:$Z$62)&amp;" "&amp;I124,E124)&amp;IF(AND(Q124="",LOOKUP(2,1/((Overview!$L$3:$L$62&lt;=ROW()-2)*(Overview!$M$3:$M$62&gt;=ROW()-2)),Overview!$W$3:$W$62)=""),"",", "&amp;IF(Q124&lt;&gt;"",Q124,"")&amp;IF(AND(Q124&lt;&gt;"",LOOKUP(2,1/((Overview!$L$3:$L$62&lt;=ROW()-2)*(Overview!$M$3:$M$62&gt;=ROW()-2)),Overview!$W$3:$W$62)&lt;&gt;""),"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4" t="str">
        <f t="shared" si="6"/>
        <v/>
      </c>
      <c r="U124" s="10" t="str">
        <f>IF(A124="","",O124&amp;IF(LOOKUP(2,1/((Overview!$L$3:$L$62&lt;=ROW()-2)*(Overview!$M$3:$M$62&gt;=ROW()-2)),Overview!$T$3:$T$62)&lt;&gt;"","_"&amp;LOOKUP(2,1/((Overview!$L$3:$L$62&lt;=ROW()-2)*(Overview!$M$3:$M$62&gt;=ROW()-2)),Overview!$T$3:$T$62),"")&amp;IF(Q124&lt;&gt;"","_"&amp;Q124,"")&amp;IF(E124&lt;&gt;"","_"&amp;E124,"")&amp;LOOKUP(2,1/((Overview!$L$3:$L$62&lt;=ROW()-2)*(Overview!$M$3:$M$62&gt;=ROW()-2)),Overview!$X$3:$X$62))</f>
        <v/>
      </c>
      <c r="V124" t="str">
        <f t="shared" si="7"/>
        <v/>
      </c>
      <c r="W124" t="str">
        <f>IF(U124="","",O124&amp;IF(LOOKUP(2,1/((Overview!$L$3:$L$62&lt;=ROW()-2)*(Overview!$M$3:$M$62&gt;=ROW()-2)),Overview!$T$3:$T$62)&lt;&gt;"","_"&amp;LOOKUP(2,1/((Overview!$L$3:$L$62&lt;=ROW()-2)*(Overview!$M$3:$M$62&gt;=ROW()-2)),Overview!$T$3:$T$62),"")&amp;"_"&amp;IF(LEFT(LOWER(TRIM(F124)),3)="set",TRIM(F124),"Set"&amp;TRIM(F124))&amp;IF(Q124&lt;&gt;"","_"&amp;Q124,"")&amp;IF(E124&lt;&gt;"","_"&amp;E124,"")&amp;LOOKUP(2,1/((Overview!$L$3:$L$62&lt;=ROW()-2)*(Overview!$M$3:$M$62&gt;=ROW()-2)),Overview!$X$3:$X$62))</f>
        <v/>
      </c>
      <c r="X124" t="str">
        <f t="shared" si="8"/>
        <v/>
      </c>
    </row>
    <row r="125" spans="1:24" ht="13.9" thickBot="1">
      <c r="A125" s="5" t="str">
        <f>IF(ROW()-2&gt;SUMIFS(Overview!$K$3:$K$62,Overview!$N$3:$N$62,"OK"),"",LOOKUP(2,1/((Overview!$L$3:$L$62&lt;=ROW()-2)*(Overview!$M$3:$M$62&gt;=ROW()-2)),Overview!$R$3:$R$62))</f>
        <v/>
      </c>
      <c r="B125" s="5" t="str">
        <f>IF(A125="","",LOOKUP(2,1/((Overview!$L$3:$L$62&lt;=ROW()-2)*(Overview!$M$3:$M$62&gt;=ROW()-2)),Overview!$O$3:$O$62))</f>
        <v/>
      </c>
      <c r="C125" s="5" t="str">
        <f>IF(A125="","",LOOKUP(2,1/((Overview!$L$3:$L$62&lt;=ROW()-2)*(Overview!$M$3:$M$62&gt;=ROW()-2)),Overview!$Y$3:$Y$62))</f>
        <v/>
      </c>
      <c r="D125" s="113" t="str">
        <f>IF(A125="","",ROW()-2-LOOKUP(2,1/((Overview!$L$3:$L$62&lt;=ROW()-2)*(Overview!$M$3:$M$62&gt;=ROW()-2)),Overview!$L$3:$L$62)+1)</f>
        <v/>
      </c>
      <c r="E125" s="113" t="str">
        <f>IF(A125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5" s="113" t="str">
        <f>IF(A125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5" s="113" t="str">
        <f>IF(A125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5" s="113" t="str">
        <f>IF(A125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5" s="113" t="str">
        <f>IF(A125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5" s="113" t="str">
        <f>IF(A125="","","image"&amp;D125&amp;LOOKUP(2,1/((Overview!$L$3:$L$62&lt;=ROW()-2)*(Overview!$M$3:$M$62&gt;=ROW()-2)),Overview!$X$3:$X$62))</f>
        <v/>
      </c>
      <c r="K125" s="113" t="str">
        <f t="shared" si="9"/>
        <v/>
      </c>
      <c r="L125" s="111" t="str">
        <f>IF(U125="","",IF(V125=1,U125,IF(X125=1,W125,LEFT(W125,LEN(W125)-LEN(LOOKUP(2,1/((Overview!$L$3:$L$62&lt;=ROW()-2)*(Overview!$M$3:$M$62&gt;=ROW()-2)),Overview!$X$3:$X$62)))&amp;IF(COUNTIF($W$3:W125,W125)=1,"","__"&amp;COUNTIF($W$3:W125,W125))&amp;LOOKUP(2,1/((Overview!$L$3:$L$62&lt;=ROW()-2)*(Overview!$M$3:$M$62&gt;=ROW()-2)),Overview!$X$3:$X$62))))</f>
        <v/>
      </c>
      <c r="M125" s="5" t="str">
        <f>IF(A125="","",LOOKUP(2,1/((Overview!$L$3:$L$62&lt;=ROW()-2)*(Overview!$M$3:$M$62&gt;=ROW()-2)),Overview!$U$3:$U$62))</f>
        <v/>
      </c>
      <c r="N125" s="5" t="str">
        <f>IF(A125="","",LOOKUP(2,1/((Overview!$L$3:$L$62&lt;=ROW()-2)*(Overview!$M$3:$M$62&gt;=ROW()-2)),Overview!$V$3:$V$62))</f>
        <v/>
      </c>
      <c r="O125" s="5" t="str">
        <f>IF(A125="","",LOOKUP(2,1/((Overview!$L$3:$L$62&lt;=ROW()-2)*(Overview!$M$3:$M$62&gt;=ROW()-2)),Overview!$B$3:$B$62))</f>
        <v/>
      </c>
      <c r="P125" s="14" t="str">
        <f>IF(A125="","",LOOKUP(2,1/((Overview!$L$3:$L$62&lt;=ROW()-2)*(Overview!$M$3:$M$62&gt;=ROW()-2)),Overview!$S$3:$S$62))</f>
        <v/>
      </c>
      <c r="Q125" s="5" t="str">
        <f>IF(A125="","",LOOKUP(2,1/((Overview!$L$3:$L$62&lt;=ROW()-2)*(Overview!$M$3:$M$62&gt;=ROW()-2)),Overview!$C$3:$C$62))</f>
        <v/>
      </c>
      <c r="R125" s="22" t="str">
        <f>IF(E125="","",IF(AND(I125&lt;&gt;"",LOOKUP(2,1/((Overview!$L$3:$L$62&lt;=ROW()-2)*(Overview!$M$3:$M$62&gt;=ROW()-2)),Overview!$Z$3:$Z$62)&lt;&gt;""),LEFT(E125,LEN(E125)-LEN(I125))&amp;LOOKUP(2,1/((Overview!$L$3:$L$62&lt;=ROW()-2)*(Overview!$M$3:$M$62&gt;=ROW()-2)),Overview!$Z$3:$Z$62)&amp;" "&amp;I125,E125)&amp;IF(AND(Q125="",LOOKUP(2,1/((Overview!$L$3:$L$62&lt;=ROW()-2)*(Overview!$M$3:$M$62&gt;=ROW()-2)),Overview!$W$3:$W$62)=""),"",", "&amp;IF(Q125&lt;&gt;"",Q125,"")&amp;IF(AND(Q125&lt;&gt;"",LOOKUP(2,1/((Overview!$L$3:$L$62&lt;=ROW()-2)*(Overview!$M$3:$M$62&gt;=ROW()-2)),Overview!$W$3:$W$62)&lt;&gt;""),"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5" t="str">
        <f t="shared" si="6"/>
        <v/>
      </c>
      <c r="U125" s="10" t="str">
        <f>IF(A125="","",O125&amp;IF(LOOKUP(2,1/((Overview!$L$3:$L$62&lt;=ROW()-2)*(Overview!$M$3:$M$62&gt;=ROW()-2)),Overview!$T$3:$T$62)&lt;&gt;"","_"&amp;LOOKUP(2,1/((Overview!$L$3:$L$62&lt;=ROW()-2)*(Overview!$M$3:$M$62&gt;=ROW()-2)),Overview!$T$3:$T$62),"")&amp;IF(Q125&lt;&gt;"","_"&amp;Q125,"")&amp;IF(E125&lt;&gt;"","_"&amp;E125,"")&amp;LOOKUP(2,1/((Overview!$L$3:$L$62&lt;=ROW()-2)*(Overview!$M$3:$M$62&gt;=ROW()-2)),Overview!$X$3:$X$62))</f>
        <v/>
      </c>
      <c r="V125" t="str">
        <f t="shared" si="7"/>
        <v/>
      </c>
      <c r="W125" t="str">
        <f>IF(U125="","",O125&amp;IF(LOOKUP(2,1/((Overview!$L$3:$L$62&lt;=ROW()-2)*(Overview!$M$3:$M$62&gt;=ROW()-2)),Overview!$T$3:$T$62)&lt;&gt;"","_"&amp;LOOKUP(2,1/((Overview!$L$3:$L$62&lt;=ROW()-2)*(Overview!$M$3:$M$62&gt;=ROW()-2)),Overview!$T$3:$T$62),"")&amp;"_"&amp;IF(LEFT(LOWER(TRIM(F125)),3)="set",TRIM(F125),"Set"&amp;TRIM(F125))&amp;IF(Q125&lt;&gt;"","_"&amp;Q125,"")&amp;IF(E125&lt;&gt;"","_"&amp;E125,"")&amp;LOOKUP(2,1/((Overview!$L$3:$L$62&lt;=ROW()-2)*(Overview!$M$3:$M$62&gt;=ROW()-2)),Overview!$X$3:$X$62))</f>
        <v/>
      </c>
      <c r="X125" t="str">
        <f t="shared" si="8"/>
        <v/>
      </c>
    </row>
    <row r="126" spans="1:24" ht="13.9" thickBot="1">
      <c r="A126" s="5" t="str">
        <f>IF(ROW()-2&gt;SUMIFS(Overview!$K$3:$K$62,Overview!$N$3:$N$62,"OK"),"",LOOKUP(2,1/((Overview!$L$3:$L$62&lt;=ROW()-2)*(Overview!$M$3:$M$62&gt;=ROW()-2)),Overview!$R$3:$R$62))</f>
        <v/>
      </c>
      <c r="B126" s="5" t="str">
        <f>IF(A126="","",LOOKUP(2,1/((Overview!$L$3:$L$62&lt;=ROW()-2)*(Overview!$M$3:$M$62&gt;=ROW()-2)),Overview!$O$3:$O$62))</f>
        <v/>
      </c>
      <c r="C126" s="5" t="str">
        <f>IF(A126="","",LOOKUP(2,1/((Overview!$L$3:$L$62&lt;=ROW()-2)*(Overview!$M$3:$M$62&gt;=ROW()-2)),Overview!$Y$3:$Y$62))</f>
        <v/>
      </c>
      <c r="D126" s="113" t="str">
        <f>IF(A126="","",ROW()-2-LOOKUP(2,1/((Overview!$L$3:$L$62&lt;=ROW()-2)*(Overview!$M$3:$M$62&gt;=ROW()-2)),Overview!$L$3:$L$62)+1)</f>
        <v/>
      </c>
      <c r="E126" s="113" t="str">
        <f>IF(A126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6" s="113" t="str">
        <f>IF(A126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6" s="113" t="str">
        <f>IF(A126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6" s="113" t="str">
        <f>IF(A126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6" s="113" t="str">
        <f>IF(A126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6" s="113" t="str">
        <f>IF(A126="","","image"&amp;D126&amp;LOOKUP(2,1/((Overview!$L$3:$L$62&lt;=ROW()-2)*(Overview!$M$3:$M$62&gt;=ROW()-2)),Overview!$X$3:$X$62))</f>
        <v/>
      </c>
      <c r="K126" s="113" t="str">
        <f t="shared" si="9"/>
        <v/>
      </c>
      <c r="L126" s="111" t="str">
        <f>IF(U126="","",IF(V126=1,U126,IF(X126=1,W126,LEFT(W126,LEN(W126)-LEN(LOOKUP(2,1/((Overview!$L$3:$L$62&lt;=ROW()-2)*(Overview!$M$3:$M$62&gt;=ROW()-2)),Overview!$X$3:$X$62)))&amp;IF(COUNTIF($W$3:W126,W126)=1,"","__"&amp;COUNTIF($W$3:W126,W126))&amp;LOOKUP(2,1/((Overview!$L$3:$L$62&lt;=ROW()-2)*(Overview!$M$3:$M$62&gt;=ROW()-2)),Overview!$X$3:$X$62))))</f>
        <v/>
      </c>
      <c r="M126" s="5" t="str">
        <f>IF(A126="","",LOOKUP(2,1/((Overview!$L$3:$L$62&lt;=ROW()-2)*(Overview!$M$3:$M$62&gt;=ROW()-2)),Overview!$U$3:$U$62))</f>
        <v/>
      </c>
      <c r="N126" s="5" t="str">
        <f>IF(A126="","",LOOKUP(2,1/((Overview!$L$3:$L$62&lt;=ROW()-2)*(Overview!$M$3:$M$62&gt;=ROW()-2)),Overview!$V$3:$V$62))</f>
        <v/>
      </c>
      <c r="O126" s="5" t="str">
        <f>IF(A126="","",LOOKUP(2,1/((Overview!$L$3:$L$62&lt;=ROW()-2)*(Overview!$M$3:$M$62&gt;=ROW()-2)),Overview!$B$3:$B$62))</f>
        <v/>
      </c>
      <c r="P126" s="14" t="str">
        <f>IF(A126="","",LOOKUP(2,1/((Overview!$L$3:$L$62&lt;=ROW()-2)*(Overview!$M$3:$M$62&gt;=ROW()-2)),Overview!$S$3:$S$62))</f>
        <v/>
      </c>
      <c r="Q126" s="5" t="str">
        <f>IF(A126="","",LOOKUP(2,1/((Overview!$L$3:$L$62&lt;=ROW()-2)*(Overview!$M$3:$M$62&gt;=ROW()-2)),Overview!$C$3:$C$62))</f>
        <v/>
      </c>
      <c r="R126" s="22" t="str">
        <f>IF(E126="","",IF(AND(I126&lt;&gt;"",LOOKUP(2,1/((Overview!$L$3:$L$62&lt;=ROW()-2)*(Overview!$M$3:$M$62&gt;=ROW()-2)),Overview!$Z$3:$Z$62)&lt;&gt;""),LEFT(E126,LEN(E126)-LEN(I126))&amp;LOOKUP(2,1/((Overview!$L$3:$L$62&lt;=ROW()-2)*(Overview!$M$3:$M$62&gt;=ROW()-2)),Overview!$Z$3:$Z$62)&amp;" "&amp;I126,E126)&amp;IF(AND(Q126="",LOOKUP(2,1/((Overview!$L$3:$L$62&lt;=ROW()-2)*(Overview!$M$3:$M$62&gt;=ROW()-2)),Overview!$W$3:$W$62)=""),"",", "&amp;IF(Q126&lt;&gt;"",Q126,"")&amp;IF(AND(Q126&lt;&gt;"",LOOKUP(2,1/((Overview!$L$3:$L$62&lt;=ROW()-2)*(Overview!$M$3:$M$62&gt;=ROW()-2)),Overview!$W$3:$W$62)&lt;&gt;""),"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6" t="str">
        <f t="shared" si="6"/>
        <v/>
      </c>
      <c r="U126" s="10" t="str">
        <f>IF(A126="","",O126&amp;IF(LOOKUP(2,1/((Overview!$L$3:$L$62&lt;=ROW()-2)*(Overview!$M$3:$M$62&gt;=ROW()-2)),Overview!$T$3:$T$62)&lt;&gt;"","_"&amp;LOOKUP(2,1/((Overview!$L$3:$L$62&lt;=ROW()-2)*(Overview!$M$3:$M$62&gt;=ROW()-2)),Overview!$T$3:$T$62),"")&amp;IF(Q126&lt;&gt;"","_"&amp;Q126,"")&amp;IF(E126&lt;&gt;"","_"&amp;E126,"")&amp;LOOKUP(2,1/((Overview!$L$3:$L$62&lt;=ROW()-2)*(Overview!$M$3:$M$62&gt;=ROW()-2)),Overview!$X$3:$X$62))</f>
        <v/>
      </c>
      <c r="V126" t="str">
        <f t="shared" si="7"/>
        <v/>
      </c>
      <c r="W126" t="str">
        <f>IF(U126="","",O126&amp;IF(LOOKUP(2,1/((Overview!$L$3:$L$62&lt;=ROW()-2)*(Overview!$M$3:$M$62&gt;=ROW()-2)),Overview!$T$3:$T$62)&lt;&gt;"","_"&amp;LOOKUP(2,1/((Overview!$L$3:$L$62&lt;=ROW()-2)*(Overview!$M$3:$M$62&gt;=ROW()-2)),Overview!$T$3:$T$62),"")&amp;"_"&amp;IF(LEFT(LOWER(TRIM(F126)),3)="set",TRIM(F126),"Set"&amp;TRIM(F126))&amp;IF(Q126&lt;&gt;"","_"&amp;Q126,"")&amp;IF(E126&lt;&gt;"","_"&amp;E126,"")&amp;LOOKUP(2,1/((Overview!$L$3:$L$62&lt;=ROW()-2)*(Overview!$M$3:$M$62&gt;=ROW()-2)),Overview!$X$3:$X$62))</f>
        <v/>
      </c>
      <c r="X126" t="str">
        <f t="shared" si="8"/>
        <v/>
      </c>
    </row>
    <row r="127" spans="1:24" ht="13.9" thickBot="1">
      <c r="A127" s="5" t="str">
        <f>IF(ROW()-2&gt;SUMIFS(Overview!$K$3:$K$62,Overview!$N$3:$N$62,"OK"),"",LOOKUP(2,1/((Overview!$L$3:$L$62&lt;=ROW()-2)*(Overview!$M$3:$M$62&gt;=ROW()-2)),Overview!$R$3:$R$62))</f>
        <v/>
      </c>
      <c r="B127" s="5" t="str">
        <f>IF(A127="","",LOOKUP(2,1/((Overview!$L$3:$L$62&lt;=ROW()-2)*(Overview!$M$3:$M$62&gt;=ROW()-2)),Overview!$O$3:$O$62))</f>
        <v/>
      </c>
      <c r="C127" s="5" t="str">
        <f>IF(A127="","",LOOKUP(2,1/((Overview!$L$3:$L$62&lt;=ROW()-2)*(Overview!$M$3:$M$62&gt;=ROW()-2)),Overview!$Y$3:$Y$62))</f>
        <v/>
      </c>
      <c r="D127" s="113" t="str">
        <f>IF(A127="","",ROW()-2-LOOKUP(2,1/((Overview!$L$3:$L$62&lt;=ROW()-2)*(Overview!$M$3:$M$62&gt;=ROW()-2)),Overview!$L$3:$L$62)+1)</f>
        <v/>
      </c>
      <c r="E127" s="113" t="str">
        <f>IF(A127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7" s="113" t="str">
        <f>IF(A127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7" s="113" t="str">
        <f>IF(A127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7" s="113" t="str">
        <f>IF(A127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7" s="113" t="str">
        <f>IF(A127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7" s="113" t="str">
        <f>IF(A127="","","image"&amp;D127&amp;LOOKUP(2,1/((Overview!$L$3:$L$62&lt;=ROW()-2)*(Overview!$M$3:$M$62&gt;=ROW()-2)),Overview!$X$3:$X$62))</f>
        <v/>
      </c>
      <c r="K127" s="113" t="str">
        <f t="shared" si="9"/>
        <v/>
      </c>
      <c r="L127" s="111" t="str">
        <f>IF(U127="","",IF(V127=1,U127,IF(X127=1,W127,LEFT(W127,LEN(W127)-LEN(LOOKUP(2,1/((Overview!$L$3:$L$62&lt;=ROW()-2)*(Overview!$M$3:$M$62&gt;=ROW()-2)),Overview!$X$3:$X$62)))&amp;IF(COUNTIF($W$3:W127,W127)=1,"","__"&amp;COUNTIF($W$3:W127,W127))&amp;LOOKUP(2,1/((Overview!$L$3:$L$62&lt;=ROW()-2)*(Overview!$M$3:$M$62&gt;=ROW()-2)),Overview!$X$3:$X$62))))</f>
        <v/>
      </c>
      <c r="M127" s="5" t="str">
        <f>IF(A127="","",LOOKUP(2,1/((Overview!$L$3:$L$62&lt;=ROW()-2)*(Overview!$M$3:$M$62&gt;=ROW()-2)),Overview!$U$3:$U$62))</f>
        <v/>
      </c>
      <c r="N127" s="5" t="str">
        <f>IF(A127="","",LOOKUP(2,1/((Overview!$L$3:$L$62&lt;=ROW()-2)*(Overview!$M$3:$M$62&gt;=ROW()-2)),Overview!$V$3:$V$62))</f>
        <v/>
      </c>
      <c r="O127" s="5" t="str">
        <f>IF(A127="","",LOOKUP(2,1/((Overview!$L$3:$L$62&lt;=ROW()-2)*(Overview!$M$3:$M$62&gt;=ROW()-2)),Overview!$B$3:$B$62))</f>
        <v/>
      </c>
      <c r="P127" s="14" t="str">
        <f>IF(A127="","",LOOKUP(2,1/((Overview!$L$3:$L$62&lt;=ROW()-2)*(Overview!$M$3:$M$62&gt;=ROW()-2)),Overview!$S$3:$S$62))</f>
        <v/>
      </c>
      <c r="Q127" s="5" t="str">
        <f>IF(A127="","",LOOKUP(2,1/((Overview!$L$3:$L$62&lt;=ROW()-2)*(Overview!$M$3:$M$62&gt;=ROW()-2)),Overview!$C$3:$C$62))</f>
        <v/>
      </c>
      <c r="R127" s="22" t="str">
        <f>IF(E127="","",IF(AND(I127&lt;&gt;"",LOOKUP(2,1/((Overview!$L$3:$L$62&lt;=ROW()-2)*(Overview!$M$3:$M$62&gt;=ROW()-2)),Overview!$Z$3:$Z$62)&lt;&gt;""),LEFT(E127,LEN(E127)-LEN(I127))&amp;LOOKUP(2,1/((Overview!$L$3:$L$62&lt;=ROW()-2)*(Overview!$M$3:$M$62&gt;=ROW()-2)),Overview!$Z$3:$Z$62)&amp;" "&amp;I127,E127)&amp;IF(AND(Q127="",LOOKUP(2,1/((Overview!$L$3:$L$62&lt;=ROW()-2)*(Overview!$M$3:$M$62&gt;=ROW()-2)),Overview!$W$3:$W$62)=""),"",", "&amp;IF(Q127&lt;&gt;"",Q127,"")&amp;IF(AND(Q127&lt;&gt;"",LOOKUP(2,1/((Overview!$L$3:$L$62&lt;=ROW()-2)*(Overview!$M$3:$M$62&gt;=ROW()-2)),Overview!$W$3:$W$62)&lt;&gt;""),"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7" t="str">
        <f t="shared" si="6"/>
        <v/>
      </c>
      <c r="U127" s="10" t="str">
        <f>IF(A127="","",O127&amp;IF(LOOKUP(2,1/((Overview!$L$3:$L$62&lt;=ROW()-2)*(Overview!$M$3:$M$62&gt;=ROW()-2)),Overview!$T$3:$T$62)&lt;&gt;"","_"&amp;LOOKUP(2,1/((Overview!$L$3:$L$62&lt;=ROW()-2)*(Overview!$M$3:$M$62&gt;=ROW()-2)),Overview!$T$3:$T$62),"")&amp;IF(Q127&lt;&gt;"","_"&amp;Q127,"")&amp;IF(E127&lt;&gt;"","_"&amp;E127,"")&amp;LOOKUP(2,1/((Overview!$L$3:$L$62&lt;=ROW()-2)*(Overview!$M$3:$M$62&gt;=ROW()-2)),Overview!$X$3:$X$62))</f>
        <v/>
      </c>
      <c r="V127" t="str">
        <f t="shared" si="7"/>
        <v/>
      </c>
      <c r="W127" t="str">
        <f>IF(U127="","",O127&amp;IF(LOOKUP(2,1/((Overview!$L$3:$L$62&lt;=ROW()-2)*(Overview!$M$3:$M$62&gt;=ROW()-2)),Overview!$T$3:$T$62)&lt;&gt;"","_"&amp;LOOKUP(2,1/((Overview!$L$3:$L$62&lt;=ROW()-2)*(Overview!$M$3:$M$62&gt;=ROW()-2)),Overview!$T$3:$T$62),"")&amp;"_"&amp;IF(LEFT(LOWER(TRIM(F127)),3)="set",TRIM(F127),"Set"&amp;TRIM(F127))&amp;IF(Q127&lt;&gt;"","_"&amp;Q127,"")&amp;IF(E127&lt;&gt;"","_"&amp;E127,"")&amp;LOOKUP(2,1/((Overview!$L$3:$L$62&lt;=ROW()-2)*(Overview!$M$3:$M$62&gt;=ROW()-2)),Overview!$X$3:$X$62))</f>
        <v/>
      </c>
      <c r="X127" t="str">
        <f t="shared" si="8"/>
        <v/>
      </c>
    </row>
    <row r="128" spans="1:24" ht="13.9" thickBot="1">
      <c r="A128" s="5" t="str">
        <f>IF(ROW()-2&gt;SUMIFS(Overview!$K$3:$K$62,Overview!$N$3:$N$62,"OK"),"",LOOKUP(2,1/((Overview!$L$3:$L$62&lt;=ROW()-2)*(Overview!$M$3:$M$62&gt;=ROW()-2)),Overview!$R$3:$R$62))</f>
        <v/>
      </c>
      <c r="B128" s="5" t="str">
        <f>IF(A128="","",LOOKUP(2,1/((Overview!$L$3:$L$62&lt;=ROW()-2)*(Overview!$M$3:$M$62&gt;=ROW()-2)),Overview!$O$3:$O$62))</f>
        <v/>
      </c>
      <c r="C128" s="5" t="str">
        <f>IF(A128="","",LOOKUP(2,1/((Overview!$L$3:$L$62&lt;=ROW()-2)*(Overview!$M$3:$M$62&gt;=ROW()-2)),Overview!$Y$3:$Y$62))</f>
        <v/>
      </c>
      <c r="D128" s="113" t="str">
        <f>IF(A128="","",ROW()-2-LOOKUP(2,1/((Overview!$L$3:$L$62&lt;=ROW()-2)*(Overview!$M$3:$M$62&gt;=ROW()-2)),Overview!$L$3:$L$62)+1)</f>
        <v/>
      </c>
      <c r="E128" s="113" t="str">
        <f>IF(A128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8" s="113" t="str">
        <f>IF(A128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8" s="113" t="str">
        <f>IF(A128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8" s="113" t="str">
        <f>IF(A128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8" s="113" t="str">
        <f>IF(A128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8" s="113" t="str">
        <f>IF(A128="","","image"&amp;D128&amp;LOOKUP(2,1/((Overview!$L$3:$L$62&lt;=ROW()-2)*(Overview!$M$3:$M$62&gt;=ROW()-2)),Overview!$X$3:$X$62))</f>
        <v/>
      </c>
      <c r="K128" s="113" t="str">
        <f t="shared" si="9"/>
        <v/>
      </c>
      <c r="L128" s="111" t="str">
        <f>IF(U128="","",IF(V128=1,U128,IF(X128=1,W128,LEFT(W128,LEN(W128)-LEN(LOOKUP(2,1/((Overview!$L$3:$L$62&lt;=ROW()-2)*(Overview!$M$3:$M$62&gt;=ROW()-2)),Overview!$X$3:$X$62)))&amp;IF(COUNTIF($W$3:W128,W128)=1,"","__"&amp;COUNTIF($W$3:W128,W128))&amp;LOOKUP(2,1/((Overview!$L$3:$L$62&lt;=ROW()-2)*(Overview!$M$3:$M$62&gt;=ROW()-2)),Overview!$X$3:$X$62))))</f>
        <v/>
      </c>
      <c r="M128" s="5" t="str">
        <f>IF(A128="","",LOOKUP(2,1/((Overview!$L$3:$L$62&lt;=ROW()-2)*(Overview!$M$3:$M$62&gt;=ROW()-2)),Overview!$U$3:$U$62))</f>
        <v/>
      </c>
      <c r="N128" s="5" t="str">
        <f>IF(A128="","",LOOKUP(2,1/((Overview!$L$3:$L$62&lt;=ROW()-2)*(Overview!$M$3:$M$62&gt;=ROW()-2)),Overview!$V$3:$V$62))</f>
        <v/>
      </c>
      <c r="O128" s="5" t="str">
        <f>IF(A128="","",LOOKUP(2,1/((Overview!$L$3:$L$62&lt;=ROW()-2)*(Overview!$M$3:$M$62&gt;=ROW()-2)),Overview!$B$3:$B$62))</f>
        <v/>
      </c>
      <c r="P128" s="14" t="str">
        <f>IF(A128="","",LOOKUP(2,1/((Overview!$L$3:$L$62&lt;=ROW()-2)*(Overview!$M$3:$M$62&gt;=ROW()-2)),Overview!$S$3:$S$62))</f>
        <v/>
      </c>
      <c r="Q128" s="5" t="str">
        <f>IF(A128="","",LOOKUP(2,1/((Overview!$L$3:$L$62&lt;=ROW()-2)*(Overview!$M$3:$M$62&gt;=ROW()-2)),Overview!$C$3:$C$62))</f>
        <v/>
      </c>
      <c r="R128" s="22" t="str">
        <f>IF(E128="","",IF(AND(I128&lt;&gt;"",LOOKUP(2,1/((Overview!$L$3:$L$62&lt;=ROW()-2)*(Overview!$M$3:$M$62&gt;=ROW()-2)),Overview!$Z$3:$Z$62)&lt;&gt;""),LEFT(E128,LEN(E128)-LEN(I128))&amp;LOOKUP(2,1/((Overview!$L$3:$L$62&lt;=ROW()-2)*(Overview!$M$3:$M$62&gt;=ROW()-2)),Overview!$Z$3:$Z$62)&amp;" "&amp;I128,E128)&amp;IF(AND(Q128="",LOOKUP(2,1/((Overview!$L$3:$L$62&lt;=ROW()-2)*(Overview!$M$3:$M$62&gt;=ROW()-2)),Overview!$W$3:$W$62)=""),"",", "&amp;IF(Q128&lt;&gt;"",Q128,"")&amp;IF(AND(Q128&lt;&gt;"",LOOKUP(2,1/((Overview!$L$3:$L$62&lt;=ROW()-2)*(Overview!$M$3:$M$62&gt;=ROW()-2)),Overview!$W$3:$W$62)&lt;&gt;""),"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8" t="str">
        <f t="shared" si="6"/>
        <v/>
      </c>
      <c r="U128" s="10" t="str">
        <f>IF(A128="","",O128&amp;IF(LOOKUP(2,1/((Overview!$L$3:$L$62&lt;=ROW()-2)*(Overview!$M$3:$M$62&gt;=ROW()-2)),Overview!$T$3:$T$62)&lt;&gt;"","_"&amp;LOOKUP(2,1/((Overview!$L$3:$L$62&lt;=ROW()-2)*(Overview!$M$3:$M$62&gt;=ROW()-2)),Overview!$T$3:$T$62),"")&amp;IF(Q128&lt;&gt;"","_"&amp;Q128,"")&amp;IF(E128&lt;&gt;"","_"&amp;E128,"")&amp;LOOKUP(2,1/((Overview!$L$3:$L$62&lt;=ROW()-2)*(Overview!$M$3:$M$62&gt;=ROW()-2)),Overview!$X$3:$X$62))</f>
        <v/>
      </c>
      <c r="V128" t="str">
        <f t="shared" si="7"/>
        <v/>
      </c>
      <c r="W128" t="str">
        <f>IF(U128="","",O128&amp;IF(LOOKUP(2,1/((Overview!$L$3:$L$62&lt;=ROW()-2)*(Overview!$M$3:$M$62&gt;=ROW()-2)),Overview!$T$3:$T$62)&lt;&gt;"","_"&amp;LOOKUP(2,1/((Overview!$L$3:$L$62&lt;=ROW()-2)*(Overview!$M$3:$M$62&gt;=ROW()-2)),Overview!$T$3:$T$62),"")&amp;"_"&amp;IF(LEFT(LOWER(TRIM(F128)),3)="set",TRIM(F128),"Set"&amp;TRIM(F128))&amp;IF(Q128&lt;&gt;"","_"&amp;Q128,"")&amp;IF(E128&lt;&gt;"","_"&amp;E128,"")&amp;LOOKUP(2,1/((Overview!$L$3:$L$62&lt;=ROW()-2)*(Overview!$M$3:$M$62&gt;=ROW()-2)),Overview!$X$3:$X$62))</f>
        <v/>
      </c>
      <c r="X128" t="str">
        <f t="shared" si="8"/>
        <v/>
      </c>
    </row>
    <row r="129" spans="1:24" ht="13.9" thickBot="1">
      <c r="A129" s="5" t="str">
        <f>IF(ROW()-2&gt;SUMIFS(Overview!$K$3:$K$62,Overview!$N$3:$N$62,"OK"),"",LOOKUP(2,1/((Overview!$L$3:$L$62&lt;=ROW()-2)*(Overview!$M$3:$M$62&gt;=ROW()-2)),Overview!$R$3:$R$62))</f>
        <v/>
      </c>
      <c r="B129" s="5" t="str">
        <f>IF(A129="","",LOOKUP(2,1/((Overview!$L$3:$L$62&lt;=ROW()-2)*(Overview!$M$3:$M$62&gt;=ROW()-2)),Overview!$O$3:$O$62))</f>
        <v/>
      </c>
      <c r="C129" s="5" t="str">
        <f>IF(A129="","",LOOKUP(2,1/((Overview!$L$3:$L$62&lt;=ROW()-2)*(Overview!$M$3:$M$62&gt;=ROW()-2)),Overview!$Y$3:$Y$62))</f>
        <v/>
      </c>
      <c r="D129" s="113" t="str">
        <f>IF(A129="","",ROW()-2-LOOKUP(2,1/((Overview!$L$3:$L$62&lt;=ROW()-2)*(Overview!$M$3:$M$62&gt;=ROW()-2)),Overview!$L$3:$L$62)+1)</f>
        <v/>
      </c>
      <c r="E129" s="113" t="str">
        <f>IF(A129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29" s="113" t="str">
        <f>IF(A129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29" s="113" t="str">
        <f>IF(A129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29" s="113" t="str">
        <f>IF(A129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29" s="113" t="str">
        <f>IF(A129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29" s="113" t="str">
        <f>IF(A129="","","image"&amp;D129&amp;LOOKUP(2,1/((Overview!$L$3:$L$62&lt;=ROW()-2)*(Overview!$M$3:$M$62&gt;=ROW()-2)),Overview!$X$3:$X$62))</f>
        <v/>
      </c>
      <c r="K129" s="113" t="str">
        <f t="shared" si="9"/>
        <v/>
      </c>
      <c r="L129" s="111" t="str">
        <f>IF(U129="","",IF(V129=1,U129,IF(X129=1,W129,LEFT(W129,LEN(W129)-LEN(LOOKUP(2,1/((Overview!$L$3:$L$62&lt;=ROW()-2)*(Overview!$M$3:$M$62&gt;=ROW()-2)),Overview!$X$3:$X$62)))&amp;IF(COUNTIF($W$3:W129,W129)=1,"","__"&amp;COUNTIF($W$3:W129,W129))&amp;LOOKUP(2,1/((Overview!$L$3:$L$62&lt;=ROW()-2)*(Overview!$M$3:$M$62&gt;=ROW()-2)),Overview!$X$3:$X$62))))</f>
        <v/>
      </c>
      <c r="M129" s="5" t="str">
        <f>IF(A129="","",LOOKUP(2,1/((Overview!$L$3:$L$62&lt;=ROW()-2)*(Overview!$M$3:$M$62&gt;=ROW()-2)),Overview!$U$3:$U$62))</f>
        <v/>
      </c>
      <c r="N129" s="5" t="str">
        <f>IF(A129="","",LOOKUP(2,1/((Overview!$L$3:$L$62&lt;=ROW()-2)*(Overview!$M$3:$M$62&gt;=ROW()-2)),Overview!$V$3:$V$62))</f>
        <v/>
      </c>
      <c r="O129" s="5" t="str">
        <f>IF(A129="","",LOOKUP(2,1/((Overview!$L$3:$L$62&lt;=ROW()-2)*(Overview!$M$3:$M$62&gt;=ROW()-2)),Overview!$B$3:$B$62))</f>
        <v/>
      </c>
      <c r="P129" s="14" t="str">
        <f>IF(A129="","",LOOKUP(2,1/((Overview!$L$3:$L$62&lt;=ROW()-2)*(Overview!$M$3:$M$62&gt;=ROW()-2)),Overview!$S$3:$S$62))</f>
        <v/>
      </c>
      <c r="Q129" s="5" t="str">
        <f>IF(A129="","",LOOKUP(2,1/((Overview!$L$3:$L$62&lt;=ROW()-2)*(Overview!$M$3:$M$62&gt;=ROW()-2)),Overview!$C$3:$C$62))</f>
        <v/>
      </c>
      <c r="R129" s="22" t="str">
        <f>IF(E129="","",IF(AND(I129&lt;&gt;"",LOOKUP(2,1/((Overview!$L$3:$L$62&lt;=ROW()-2)*(Overview!$M$3:$M$62&gt;=ROW()-2)),Overview!$Z$3:$Z$62)&lt;&gt;""),LEFT(E129,LEN(E129)-LEN(I129))&amp;LOOKUP(2,1/((Overview!$L$3:$L$62&lt;=ROW()-2)*(Overview!$M$3:$M$62&gt;=ROW()-2)),Overview!$Z$3:$Z$62)&amp;" "&amp;I129,E129)&amp;IF(AND(Q129="",LOOKUP(2,1/((Overview!$L$3:$L$62&lt;=ROW()-2)*(Overview!$M$3:$M$62&gt;=ROW()-2)),Overview!$W$3:$W$62)=""),"",", "&amp;IF(Q129&lt;&gt;"",Q129,"")&amp;IF(AND(Q129&lt;&gt;"",LOOKUP(2,1/((Overview!$L$3:$L$62&lt;=ROW()-2)*(Overview!$M$3:$M$62&gt;=ROW()-2)),Overview!$W$3:$W$62)&lt;&gt;""),"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29" t="str">
        <f t="shared" si="6"/>
        <v/>
      </c>
      <c r="U129" s="10" t="str">
        <f>IF(A129="","",O129&amp;IF(LOOKUP(2,1/((Overview!$L$3:$L$62&lt;=ROW()-2)*(Overview!$M$3:$M$62&gt;=ROW()-2)),Overview!$T$3:$T$62)&lt;&gt;"","_"&amp;LOOKUP(2,1/((Overview!$L$3:$L$62&lt;=ROW()-2)*(Overview!$M$3:$M$62&gt;=ROW()-2)),Overview!$T$3:$T$62),"")&amp;IF(Q129&lt;&gt;"","_"&amp;Q129,"")&amp;IF(E129&lt;&gt;"","_"&amp;E129,"")&amp;LOOKUP(2,1/((Overview!$L$3:$L$62&lt;=ROW()-2)*(Overview!$M$3:$M$62&gt;=ROW()-2)),Overview!$X$3:$X$62))</f>
        <v/>
      </c>
      <c r="V129" t="str">
        <f t="shared" si="7"/>
        <v/>
      </c>
      <c r="W129" t="str">
        <f>IF(U129="","",O129&amp;IF(LOOKUP(2,1/((Overview!$L$3:$L$62&lt;=ROW()-2)*(Overview!$M$3:$M$62&gt;=ROW()-2)),Overview!$T$3:$T$62)&lt;&gt;"","_"&amp;LOOKUP(2,1/((Overview!$L$3:$L$62&lt;=ROW()-2)*(Overview!$M$3:$M$62&gt;=ROW()-2)),Overview!$T$3:$T$62),"")&amp;"_"&amp;IF(LEFT(LOWER(TRIM(F129)),3)="set",TRIM(F129),"Set"&amp;TRIM(F129))&amp;IF(Q129&lt;&gt;"","_"&amp;Q129,"")&amp;IF(E129&lt;&gt;"","_"&amp;E129,"")&amp;LOOKUP(2,1/((Overview!$L$3:$L$62&lt;=ROW()-2)*(Overview!$M$3:$M$62&gt;=ROW()-2)),Overview!$X$3:$X$62))</f>
        <v/>
      </c>
      <c r="X129" t="str">
        <f t="shared" si="8"/>
        <v/>
      </c>
    </row>
    <row r="130" spans="1:24" ht="13.9" thickBot="1">
      <c r="A130" s="5" t="str">
        <f>IF(ROW()-2&gt;SUMIFS(Overview!$K$3:$K$62,Overview!$N$3:$N$62,"OK"),"",LOOKUP(2,1/((Overview!$L$3:$L$62&lt;=ROW()-2)*(Overview!$M$3:$M$62&gt;=ROW()-2)),Overview!$R$3:$R$62))</f>
        <v/>
      </c>
      <c r="B130" s="5" t="str">
        <f>IF(A130="","",LOOKUP(2,1/((Overview!$L$3:$L$62&lt;=ROW()-2)*(Overview!$M$3:$M$62&gt;=ROW()-2)),Overview!$O$3:$O$62))</f>
        <v/>
      </c>
      <c r="C130" s="5" t="str">
        <f>IF(A130="","",LOOKUP(2,1/((Overview!$L$3:$L$62&lt;=ROW()-2)*(Overview!$M$3:$M$62&gt;=ROW()-2)),Overview!$Y$3:$Y$62))</f>
        <v/>
      </c>
      <c r="D130" s="113" t="str">
        <f>IF(A130="","",ROW()-2-LOOKUP(2,1/((Overview!$L$3:$L$62&lt;=ROW()-2)*(Overview!$M$3:$M$62&gt;=ROW()-2)),Overview!$L$3:$L$62)+1)</f>
        <v/>
      </c>
      <c r="E130" s="113" t="str">
        <f>IF(A130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0" s="113" t="str">
        <f>IF(A130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0" s="113" t="str">
        <f>IF(A130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0" s="113" t="str">
        <f>IF(A130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0" s="113" t="str">
        <f>IF(A130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0" s="113" t="str">
        <f>IF(A130="","","image"&amp;D130&amp;LOOKUP(2,1/((Overview!$L$3:$L$62&lt;=ROW()-2)*(Overview!$M$3:$M$62&gt;=ROW()-2)),Overview!$X$3:$X$62))</f>
        <v/>
      </c>
      <c r="K130" s="113" t="str">
        <f t="shared" si="9"/>
        <v/>
      </c>
      <c r="L130" s="111" t="str">
        <f>IF(U130="","",IF(V130=1,U130,IF(X130=1,W130,LEFT(W130,LEN(W130)-LEN(LOOKUP(2,1/((Overview!$L$3:$L$62&lt;=ROW()-2)*(Overview!$M$3:$M$62&gt;=ROW()-2)),Overview!$X$3:$X$62)))&amp;IF(COUNTIF($W$3:W130,W130)=1,"","__"&amp;COUNTIF($W$3:W130,W130))&amp;LOOKUP(2,1/((Overview!$L$3:$L$62&lt;=ROW()-2)*(Overview!$M$3:$M$62&gt;=ROW()-2)),Overview!$X$3:$X$62))))</f>
        <v/>
      </c>
      <c r="M130" s="5" t="str">
        <f>IF(A130="","",LOOKUP(2,1/((Overview!$L$3:$L$62&lt;=ROW()-2)*(Overview!$M$3:$M$62&gt;=ROW()-2)),Overview!$U$3:$U$62))</f>
        <v/>
      </c>
      <c r="N130" s="5" t="str">
        <f>IF(A130="","",LOOKUP(2,1/((Overview!$L$3:$L$62&lt;=ROW()-2)*(Overview!$M$3:$M$62&gt;=ROW()-2)),Overview!$V$3:$V$62))</f>
        <v/>
      </c>
      <c r="O130" s="5" t="str">
        <f>IF(A130="","",LOOKUP(2,1/((Overview!$L$3:$L$62&lt;=ROW()-2)*(Overview!$M$3:$M$62&gt;=ROW()-2)),Overview!$B$3:$B$62))</f>
        <v/>
      </c>
      <c r="P130" s="14" t="str">
        <f>IF(A130="","",LOOKUP(2,1/((Overview!$L$3:$L$62&lt;=ROW()-2)*(Overview!$M$3:$M$62&gt;=ROW()-2)),Overview!$S$3:$S$62))</f>
        <v/>
      </c>
      <c r="Q130" s="5" t="str">
        <f>IF(A130="","",LOOKUP(2,1/((Overview!$L$3:$L$62&lt;=ROW()-2)*(Overview!$M$3:$M$62&gt;=ROW()-2)),Overview!$C$3:$C$62))</f>
        <v/>
      </c>
      <c r="R130" s="22" t="str">
        <f>IF(E130="","",IF(AND(I130&lt;&gt;"",LOOKUP(2,1/((Overview!$L$3:$L$62&lt;=ROW()-2)*(Overview!$M$3:$M$62&gt;=ROW()-2)),Overview!$Z$3:$Z$62)&lt;&gt;""),LEFT(E130,LEN(E130)-LEN(I130))&amp;LOOKUP(2,1/((Overview!$L$3:$L$62&lt;=ROW()-2)*(Overview!$M$3:$M$62&gt;=ROW()-2)),Overview!$Z$3:$Z$62)&amp;" "&amp;I130,E130)&amp;IF(AND(Q130="",LOOKUP(2,1/((Overview!$L$3:$L$62&lt;=ROW()-2)*(Overview!$M$3:$M$62&gt;=ROW()-2)),Overview!$W$3:$W$62)=""),"",", "&amp;IF(Q130&lt;&gt;"",Q130,"")&amp;IF(AND(Q130&lt;&gt;"",LOOKUP(2,1/((Overview!$L$3:$L$62&lt;=ROW()-2)*(Overview!$M$3:$M$62&gt;=ROW()-2)),Overview!$W$3:$W$62)&lt;&gt;""),"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0" t="str">
        <f t="shared" si="6"/>
        <v/>
      </c>
      <c r="U130" s="10" t="str">
        <f>IF(A130="","",O130&amp;IF(LOOKUP(2,1/((Overview!$L$3:$L$62&lt;=ROW()-2)*(Overview!$M$3:$M$62&gt;=ROW()-2)),Overview!$T$3:$T$62)&lt;&gt;"","_"&amp;LOOKUP(2,1/((Overview!$L$3:$L$62&lt;=ROW()-2)*(Overview!$M$3:$M$62&gt;=ROW()-2)),Overview!$T$3:$T$62),"")&amp;IF(Q130&lt;&gt;"","_"&amp;Q130,"")&amp;IF(E130&lt;&gt;"","_"&amp;E130,"")&amp;LOOKUP(2,1/((Overview!$L$3:$L$62&lt;=ROW()-2)*(Overview!$M$3:$M$62&gt;=ROW()-2)),Overview!$X$3:$X$62))</f>
        <v/>
      </c>
      <c r="V130" t="str">
        <f t="shared" si="7"/>
        <v/>
      </c>
      <c r="W130" t="str">
        <f>IF(U130="","",O130&amp;IF(LOOKUP(2,1/((Overview!$L$3:$L$62&lt;=ROW()-2)*(Overview!$M$3:$M$62&gt;=ROW()-2)),Overview!$T$3:$T$62)&lt;&gt;"","_"&amp;LOOKUP(2,1/((Overview!$L$3:$L$62&lt;=ROW()-2)*(Overview!$M$3:$M$62&gt;=ROW()-2)),Overview!$T$3:$T$62),"")&amp;"_"&amp;IF(LEFT(LOWER(TRIM(F130)),3)="set",TRIM(F130),"Set"&amp;TRIM(F130))&amp;IF(Q130&lt;&gt;"","_"&amp;Q130,"")&amp;IF(E130&lt;&gt;"","_"&amp;E130,"")&amp;LOOKUP(2,1/((Overview!$L$3:$L$62&lt;=ROW()-2)*(Overview!$M$3:$M$62&gt;=ROW()-2)),Overview!$X$3:$X$62))</f>
        <v/>
      </c>
      <c r="X130" t="str">
        <f t="shared" si="8"/>
        <v/>
      </c>
    </row>
    <row r="131" spans="1:24" ht="13.9" thickBot="1">
      <c r="A131" s="5" t="str">
        <f>IF(ROW()-2&gt;SUMIFS(Overview!$K$3:$K$62,Overview!$N$3:$N$62,"OK"),"",LOOKUP(2,1/((Overview!$L$3:$L$62&lt;=ROW()-2)*(Overview!$M$3:$M$62&gt;=ROW()-2)),Overview!$R$3:$R$62))</f>
        <v/>
      </c>
      <c r="B131" s="5" t="str">
        <f>IF(A131="","",LOOKUP(2,1/((Overview!$L$3:$L$62&lt;=ROW()-2)*(Overview!$M$3:$M$62&gt;=ROW()-2)),Overview!$O$3:$O$62))</f>
        <v/>
      </c>
      <c r="C131" s="5" t="str">
        <f>IF(A131="","",LOOKUP(2,1/((Overview!$L$3:$L$62&lt;=ROW()-2)*(Overview!$M$3:$M$62&gt;=ROW()-2)),Overview!$Y$3:$Y$62))</f>
        <v/>
      </c>
      <c r="D131" s="113" t="str">
        <f>IF(A131="","",ROW()-2-LOOKUP(2,1/((Overview!$L$3:$L$62&lt;=ROW()-2)*(Overview!$M$3:$M$62&gt;=ROW()-2)),Overview!$L$3:$L$62)+1)</f>
        <v/>
      </c>
      <c r="E131" s="113" t="str">
        <f>IF(A131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1" s="113" t="str">
        <f>IF(A131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1" s="113" t="str">
        <f>IF(A131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1" s="113" t="str">
        <f>IF(A131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1" s="113" t="str">
        <f>IF(A131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1" s="113" t="str">
        <f>IF(A131="","","image"&amp;D131&amp;LOOKUP(2,1/((Overview!$L$3:$L$62&lt;=ROW()-2)*(Overview!$M$3:$M$62&gt;=ROW()-2)),Overview!$X$3:$X$62))</f>
        <v/>
      </c>
      <c r="K131" s="113" t="str">
        <f t="shared" ref="K131:K152" si="10">IF(A131="","",C131&amp;"_I"&amp;TEXT(D131,"000"))</f>
        <v/>
      </c>
      <c r="L131" s="111" t="str">
        <f>IF(U131="","",IF(V131=1,U131,IF(X131=1,W131,LEFT(W131,LEN(W131)-LEN(LOOKUP(2,1/((Overview!$L$3:$L$62&lt;=ROW()-2)*(Overview!$M$3:$M$62&gt;=ROW()-2)),Overview!$X$3:$X$62)))&amp;IF(COUNTIF($W$3:W131,W131)=1,"","__"&amp;COUNTIF($W$3:W131,W131))&amp;LOOKUP(2,1/((Overview!$L$3:$L$62&lt;=ROW()-2)*(Overview!$M$3:$M$62&gt;=ROW()-2)),Overview!$X$3:$X$62))))</f>
        <v/>
      </c>
      <c r="M131" s="5" t="str">
        <f>IF(A131="","",LOOKUP(2,1/((Overview!$L$3:$L$62&lt;=ROW()-2)*(Overview!$M$3:$M$62&gt;=ROW()-2)),Overview!$U$3:$U$62))</f>
        <v/>
      </c>
      <c r="N131" s="5" t="str">
        <f>IF(A131="","",LOOKUP(2,1/((Overview!$L$3:$L$62&lt;=ROW()-2)*(Overview!$M$3:$M$62&gt;=ROW()-2)),Overview!$V$3:$V$62))</f>
        <v/>
      </c>
      <c r="O131" s="5" t="str">
        <f>IF(A131="","",LOOKUP(2,1/((Overview!$L$3:$L$62&lt;=ROW()-2)*(Overview!$M$3:$M$62&gt;=ROW()-2)),Overview!$B$3:$B$62))</f>
        <v/>
      </c>
      <c r="P131" s="14" t="str">
        <f>IF(A131="","",LOOKUP(2,1/((Overview!$L$3:$L$62&lt;=ROW()-2)*(Overview!$M$3:$M$62&gt;=ROW()-2)),Overview!$S$3:$S$62))</f>
        <v/>
      </c>
      <c r="Q131" s="5" t="str">
        <f>IF(A131="","",LOOKUP(2,1/((Overview!$L$3:$L$62&lt;=ROW()-2)*(Overview!$M$3:$M$62&gt;=ROW()-2)),Overview!$C$3:$C$62))</f>
        <v/>
      </c>
      <c r="R131" s="22" t="str">
        <f>IF(E131="","",IF(AND(I131&lt;&gt;"",LOOKUP(2,1/((Overview!$L$3:$L$62&lt;=ROW()-2)*(Overview!$M$3:$M$62&gt;=ROW()-2)),Overview!$Z$3:$Z$62)&lt;&gt;""),LEFT(E131,LEN(E131)-LEN(I131))&amp;LOOKUP(2,1/((Overview!$L$3:$L$62&lt;=ROW()-2)*(Overview!$M$3:$M$62&gt;=ROW()-2)),Overview!$Z$3:$Z$62)&amp;" "&amp;I131,E131)&amp;IF(AND(Q131="",LOOKUP(2,1/((Overview!$L$3:$L$62&lt;=ROW()-2)*(Overview!$M$3:$M$62&gt;=ROW()-2)),Overview!$W$3:$W$62)=""),"",", "&amp;IF(Q131&lt;&gt;"",Q131,"")&amp;IF(AND(Q131&lt;&gt;"",LOOKUP(2,1/((Overview!$L$3:$L$62&lt;=ROW()-2)*(Overview!$M$3:$M$62&gt;=ROW()-2)),Overview!$W$3:$W$62)&lt;&gt;""),"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1" t="str">
        <f t="shared" si="6"/>
        <v/>
      </c>
      <c r="U131" s="10" t="str">
        <f>IF(A131="","",O131&amp;IF(LOOKUP(2,1/((Overview!$L$3:$L$62&lt;=ROW()-2)*(Overview!$M$3:$M$62&gt;=ROW()-2)),Overview!$T$3:$T$62)&lt;&gt;"","_"&amp;LOOKUP(2,1/((Overview!$L$3:$L$62&lt;=ROW()-2)*(Overview!$M$3:$M$62&gt;=ROW()-2)),Overview!$T$3:$T$62),"")&amp;IF(Q131&lt;&gt;"","_"&amp;Q131,"")&amp;IF(E131&lt;&gt;"","_"&amp;E131,"")&amp;LOOKUP(2,1/((Overview!$L$3:$L$62&lt;=ROW()-2)*(Overview!$M$3:$M$62&gt;=ROW()-2)),Overview!$X$3:$X$62))</f>
        <v/>
      </c>
      <c r="V131" t="str">
        <f t="shared" si="7"/>
        <v/>
      </c>
      <c r="W131" t="str">
        <f>IF(U131="","",O131&amp;IF(LOOKUP(2,1/((Overview!$L$3:$L$62&lt;=ROW()-2)*(Overview!$M$3:$M$62&gt;=ROW()-2)),Overview!$T$3:$T$62)&lt;&gt;"","_"&amp;LOOKUP(2,1/((Overview!$L$3:$L$62&lt;=ROW()-2)*(Overview!$M$3:$M$62&gt;=ROW()-2)),Overview!$T$3:$T$62),"")&amp;"_"&amp;IF(LEFT(LOWER(TRIM(F131)),3)="set",TRIM(F131),"Set"&amp;TRIM(F131))&amp;IF(Q131&lt;&gt;"","_"&amp;Q131,"")&amp;IF(E131&lt;&gt;"","_"&amp;E131,"")&amp;LOOKUP(2,1/((Overview!$L$3:$L$62&lt;=ROW()-2)*(Overview!$M$3:$M$62&gt;=ROW()-2)),Overview!$X$3:$X$62))</f>
        <v/>
      </c>
      <c r="X131" t="str">
        <f t="shared" si="8"/>
        <v/>
      </c>
    </row>
    <row r="132" spans="1:24" ht="13.9" thickBot="1">
      <c r="A132" s="5" t="str">
        <f>IF(ROW()-2&gt;SUMIFS(Overview!$K$3:$K$62,Overview!$N$3:$N$62,"OK"),"",LOOKUP(2,1/((Overview!$L$3:$L$62&lt;=ROW()-2)*(Overview!$M$3:$M$62&gt;=ROW()-2)),Overview!$R$3:$R$62))</f>
        <v/>
      </c>
      <c r="B132" s="5" t="str">
        <f>IF(A132="","",LOOKUP(2,1/((Overview!$L$3:$L$62&lt;=ROW()-2)*(Overview!$M$3:$M$62&gt;=ROW()-2)),Overview!$O$3:$O$62))</f>
        <v/>
      </c>
      <c r="C132" s="5" t="str">
        <f>IF(A132="","",LOOKUP(2,1/((Overview!$L$3:$L$62&lt;=ROW()-2)*(Overview!$M$3:$M$62&gt;=ROW()-2)),Overview!$Y$3:$Y$62))</f>
        <v/>
      </c>
      <c r="D132" s="113" t="str">
        <f>IF(A132="","",ROW()-2-LOOKUP(2,1/((Overview!$L$3:$L$62&lt;=ROW()-2)*(Overview!$M$3:$M$62&gt;=ROW()-2)),Overview!$L$3:$L$62)+1)</f>
        <v/>
      </c>
      <c r="E132" s="113" t="str">
        <f>IF(A132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2" s="113" t="str">
        <f>IF(A132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2" s="113" t="str">
        <f>IF(A132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2" s="113" t="str">
        <f>IF(A132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2" s="113" t="str">
        <f>IF(A132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2" s="113" t="str">
        <f>IF(A132="","","image"&amp;D132&amp;LOOKUP(2,1/((Overview!$L$3:$L$62&lt;=ROW()-2)*(Overview!$M$3:$M$62&gt;=ROW()-2)),Overview!$X$3:$X$62))</f>
        <v/>
      </c>
      <c r="K132" s="113" t="str">
        <f t="shared" si="10"/>
        <v/>
      </c>
      <c r="L132" s="111" t="str">
        <f>IF(U132="","",IF(V132=1,U132,IF(X132=1,W132,LEFT(W132,LEN(W132)-LEN(LOOKUP(2,1/((Overview!$L$3:$L$62&lt;=ROW()-2)*(Overview!$M$3:$M$62&gt;=ROW()-2)),Overview!$X$3:$X$62)))&amp;IF(COUNTIF($W$3:W132,W132)=1,"","__"&amp;COUNTIF($W$3:W132,W132))&amp;LOOKUP(2,1/((Overview!$L$3:$L$62&lt;=ROW()-2)*(Overview!$M$3:$M$62&gt;=ROW()-2)),Overview!$X$3:$X$62))))</f>
        <v/>
      </c>
      <c r="M132" s="5" t="str">
        <f>IF(A132="","",LOOKUP(2,1/((Overview!$L$3:$L$62&lt;=ROW()-2)*(Overview!$M$3:$M$62&gt;=ROW()-2)),Overview!$U$3:$U$62))</f>
        <v/>
      </c>
      <c r="N132" s="5" t="str">
        <f>IF(A132="","",LOOKUP(2,1/((Overview!$L$3:$L$62&lt;=ROW()-2)*(Overview!$M$3:$M$62&gt;=ROW()-2)),Overview!$V$3:$V$62))</f>
        <v/>
      </c>
      <c r="O132" s="5" t="str">
        <f>IF(A132="","",LOOKUP(2,1/((Overview!$L$3:$L$62&lt;=ROW()-2)*(Overview!$M$3:$M$62&gt;=ROW()-2)),Overview!$B$3:$B$62))</f>
        <v/>
      </c>
      <c r="P132" s="14" t="str">
        <f>IF(A132="","",LOOKUP(2,1/((Overview!$L$3:$L$62&lt;=ROW()-2)*(Overview!$M$3:$M$62&gt;=ROW()-2)),Overview!$S$3:$S$62))</f>
        <v/>
      </c>
      <c r="Q132" s="5" t="str">
        <f>IF(A132="","",LOOKUP(2,1/((Overview!$L$3:$L$62&lt;=ROW()-2)*(Overview!$M$3:$M$62&gt;=ROW()-2)),Overview!$C$3:$C$62))</f>
        <v/>
      </c>
      <c r="R132" s="22" t="str">
        <f>IF(E132="","",IF(AND(I132&lt;&gt;"",LOOKUP(2,1/((Overview!$L$3:$L$62&lt;=ROW()-2)*(Overview!$M$3:$M$62&gt;=ROW()-2)),Overview!$Z$3:$Z$62)&lt;&gt;""),LEFT(E132,LEN(E132)-LEN(I132))&amp;LOOKUP(2,1/((Overview!$L$3:$L$62&lt;=ROW()-2)*(Overview!$M$3:$M$62&gt;=ROW()-2)),Overview!$Z$3:$Z$62)&amp;" "&amp;I132,E132)&amp;IF(AND(Q132="",LOOKUP(2,1/((Overview!$L$3:$L$62&lt;=ROW()-2)*(Overview!$M$3:$M$62&gt;=ROW()-2)),Overview!$W$3:$W$62)=""),"",", "&amp;IF(Q132&lt;&gt;"",Q132,"")&amp;IF(AND(Q132&lt;&gt;"",LOOKUP(2,1/((Overview!$L$3:$L$62&lt;=ROW()-2)*(Overview!$M$3:$M$62&gt;=ROW()-2)),Overview!$W$3:$W$62)&lt;&gt;""),"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2" t="str">
        <f t="shared" ref="S132:S152" si="11">IF(U132="","",IF(V132=1,"Unique",IF(TRIM(F132)="","Missing Set for duplicate",IF(X132=1,"Duplicate resolved by Set","Set still duplicated; suffix added"))))</f>
        <v/>
      </c>
      <c r="U132" s="10" t="str">
        <f>IF(A132="","",O132&amp;IF(LOOKUP(2,1/((Overview!$L$3:$L$62&lt;=ROW()-2)*(Overview!$M$3:$M$62&gt;=ROW()-2)),Overview!$T$3:$T$62)&lt;&gt;"","_"&amp;LOOKUP(2,1/((Overview!$L$3:$L$62&lt;=ROW()-2)*(Overview!$M$3:$M$62&gt;=ROW()-2)),Overview!$T$3:$T$62),"")&amp;IF(Q132&lt;&gt;"","_"&amp;Q132,"")&amp;IF(E132&lt;&gt;"","_"&amp;E132,"")&amp;LOOKUP(2,1/((Overview!$L$3:$L$62&lt;=ROW()-2)*(Overview!$M$3:$M$62&gt;=ROW()-2)),Overview!$X$3:$X$62))</f>
        <v/>
      </c>
      <c r="V132" t="str">
        <f t="shared" ref="V132:V152" si="12">IF(U132="","",COUNTIF($U$3:$U$152,U132))</f>
        <v/>
      </c>
      <c r="W132" t="str">
        <f>IF(U132="","",O132&amp;IF(LOOKUP(2,1/((Overview!$L$3:$L$62&lt;=ROW()-2)*(Overview!$M$3:$M$62&gt;=ROW()-2)),Overview!$T$3:$T$62)&lt;&gt;"","_"&amp;LOOKUP(2,1/((Overview!$L$3:$L$62&lt;=ROW()-2)*(Overview!$M$3:$M$62&gt;=ROW()-2)),Overview!$T$3:$T$62),"")&amp;"_"&amp;IF(LEFT(LOWER(TRIM(F132)),3)="set",TRIM(F132),"Set"&amp;TRIM(F132))&amp;IF(Q132&lt;&gt;"","_"&amp;Q132,"")&amp;IF(E132&lt;&gt;"","_"&amp;E132,"")&amp;LOOKUP(2,1/((Overview!$L$3:$L$62&lt;=ROW()-2)*(Overview!$M$3:$M$62&gt;=ROW()-2)),Overview!$X$3:$X$62))</f>
        <v/>
      </c>
      <c r="X132" t="str">
        <f t="shared" ref="X132:X152" si="13">IF(W132="","",COUNTIF($W$3:$W$152,W132))</f>
        <v/>
      </c>
    </row>
    <row r="133" spans="1:24" ht="13.9" thickBot="1">
      <c r="A133" s="5" t="str">
        <f>IF(ROW()-2&gt;SUMIFS(Overview!$K$3:$K$62,Overview!$N$3:$N$62,"OK"),"",LOOKUP(2,1/((Overview!$L$3:$L$62&lt;=ROW()-2)*(Overview!$M$3:$M$62&gt;=ROW()-2)),Overview!$R$3:$R$62))</f>
        <v/>
      </c>
      <c r="B133" s="5" t="str">
        <f>IF(A133="","",LOOKUP(2,1/((Overview!$L$3:$L$62&lt;=ROW()-2)*(Overview!$M$3:$M$62&gt;=ROW()-2)),Overview!$O$3:$O$62))</f>
        <v/>
      </c>
      <c r="C133" s="5" t="str">
        <f>IF(A133="","",LOOKUP(2,1/((Overview!$L$3:$L$62&lt;=ROW()-2)*(Overview!$M$3:$M$62&gt;=ROW()-2)),Overview!$Y$3:$Y$62))</f>
        <v/>
      </c>
      <c r="D133" s="113" t="str">
        <f>IF(A133="","",ROW()-2-LOOKUP(2,1/((Overview!$L$3:$L$62&lt;=ROW()-2)*(Overview!$M$3:$M$62&gt;=ROW()-2)),Overview!$L$3:$L$62)+1)</f>
        <v/>
      </c>
      <c r="E133" s="113" t="str">
        <f>IF(A133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3" s="113" t="str">
        <f>IF(A133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3" s="113" t="str">
        <f>IF(A133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3" s="113" t="str">
        <f>IF(A133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3" s="113" t="str">
        <f>IF(A133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3" s="113" t="str">
        <f>IF(A133="","","image"&amp;D133&amp;LOOKUP(2,1/((Overview!$L$3:$L$62&lt;=ROW()-2)*(Overview!$M$3:$M$62&gt;=ROW()-2)),Overview!$X$3:$X$62))</f>
        <v/>
      </c>
      <c r="K133" s="113" t="str">
        <f t="shared" si="10"/>
        <v/>
      </c>
      <c r="L133" s="111" t="str">
        <f>IF(U133="","",IF(V133=1,U133,IF(X133=1,W133,LEFT(W133,LEN(W133)-LEN(LOOKUP(2,1/((Overview!$L$3:$L$62&lt;=ROW()-2)*(Overview!$M$3:$M$62&gt;=ROW()-2)),Overview!$X$3:$X$62)))&amp;IF(COUNTIF($W$3:W133,W133)=1,"","__"&amp;COUNTIF($W$3:W133,W133))&amp;LOOKUP(2,1/((Overview!$L$3:$L$62&lt;=ROW()-2)*(Overview!$M$3:$M$62&gt;=ROW()-2)),Overview!$X$3:$X$62))))</f>
        <v/>
      </c>
      <c r="M133" s="5" t="str">
        <f>IF(A133="","",LOOKUP(2,1/((Overview!$L$3:$L$62&lt;=ROW()-2)*(Overview!$M$3:$M$62&gt;=ROW()-2)),Overview!$U$3:$U$62))</f>
        <v/>
      </c>
      <c r="N133" s="5" t="str">
        <f>IF(A133="","",LOOKUP(2,1/((Overview!$L$3:$L$62&lt;=ROW()-2)*(Overview!$M$3:$M$62&gt;=ROW()-2)),Overview!$V$3:$V$62))</f>
        <v/>
      </c>
      <c r="O133" s="5" t="str">
        <f>IF(A133="","",LOOKUP(2,1/((Overview!$L$3:$L$62&lt;=ROW()-2)*(Overview!$M$3:$M$62&gt;=ROW()-2)),Overview!$B$3:$B$62))</f>
        <v/>
      </c>
      <c r="P133" s="14" t="str">
        <f>IF(A133="","",LOOKUP(2,1/((Overview!$L$3:$L$62&lt;=ROW()-2)*(Overview!$M$3:$M$62&gt;=ROW()-2)),Overview!$S$3:$S$62))</f>
        <v/>
      </c>
      <c r="Q133" s="5" t="str">
        <f>IF(A133="","",LOOKUP(2,1/((Overview!$L$3:$L$62&lt;=ROW()-2)*(Overview!$M$3:$M$62&gt;=ROW()-2)),Overview!$C$3:$C$62))</f>
        <v/>
      </c>
      <c r="R133" s="22" t="str">
        <f>IF(E133="","",IF(AND(I133&lt;&gt;"",LOOKUP(2,1/((Overview!$L$3:$L$62&lt;=ROW()-2)*(Overview!$M$3:$M$62&gt;=ROW()-2)),Overview!$Z$3:$Z$62)&lt;&gt;""),LEFT(E133,LEN(E133)-LEN(I133))&amp;LOOKUP(2,1/((Overview!$L$3:$L$62&lt;=ROW()-2)*(Overview!$M$3:$M$62&gt;=ROW()-2)),Overview!$Z$3:$Z$62)&amp;" "&amp;I133,E133)&amp;IF(AND(Q133="",LOOKUP(2,1/((Overview!$L$3:$L$62&lt;=ROW()-2)*(Overview!$M$3:$M$62&gt;=ROW()-2)),Overview!$W$3:$W$62)=""),"",", "&amp;IF(Q133&lt;&gt;"",Q133,"")&amp;IF(AND(Q133&lt;&gt;"",LOOKUP(2,1/((Overview!$L$3:$L$62&lt;=ROW()-2)*(Overview!$M$3:$M$62&gt;=ROW()-2)),Overview!$W$3:$W$62)&lt;&gt;""),"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3" t="str">
        <f t="shared" si="11"/>
        <v/>
      </c>
      <c r="U133" s="10" t="str">
        <f>IF(A133="","",O133&amp;IF(LOOKUP(2,1/((Overview!$L$3:$L$62&lt;=ROW()-2)*(Overview!$M$3:$M$62&gt;=ROW()-2)),Overview!$T$3:$T$62)&lt;&gt;"","_"&amp;LOOKUP(2,1/((Overview!$L$3:$L$62&lt;=ROW()-2)*(Overview!$M$3:$M$62&gt;=ROW()-2)),Overview!$T$3:$T$62),"")&amp;IF(Q133&lt;&gt;"","_"&amp;Q133,"")&amp;IF(E133&lt;&gt;"","_"&amp;E133,"")&amp;LOOKUP(2,1/((Overview!$L$3:$L$62&lt;=ROW()-2)*(Overview!$M$3:$M$62&gt;=ROW()-2)),Overview!$X$3:$X$62))</f>
        <v/>
      </c>
      <c r="V133" t="str">
        <f t="shared" si="12"/>
        <v/>
      </c>
      <c r="W133" t="str">
        <f>IF(U133="","",O133&amp;IF(LOOKUP(2,1/((Overview!$L$3:$L$62&lt;=ROW()-2)*(Overview!$M$3:$M$62&gt;=ROW()-2)),Overview!$T$3:$T$62)&lt;&gt;"","_"&amp;LOOKUP(2,1/((Overview!$L$3:$L$62&lt;=ROW()-2)*(Overview!$M$3:$M$62&gt;=ROW()-2)),Overview!$T$3:$T$62),"")&amp;"_"&amp;IF(LEFT(LOWER(TRIM(F133)),3)="set",TRIM(F133),"Set"&amp;TRIM(F133))&amp;IF(Q133&lt;&gt;"","_"&amp;Q133,"")&amp;IF(E133&lt;&gt;"","_"&amp;E133,"")&amp;LOOKUP(2,1/((Overview!$L$3:$L$62&lt;=ROW()-2)*(Overview!$M$3:$M$62&gt;=ROW()-2)),Overview!$X$3:$X$62))</f>
        <v/>
      </c>
      <c r="X133" t="str">
        <f t="shared" si="13"/>
        <v/>
      </c>
    </row>
    <row r="134" spans="1:24" ht="13.9" thickBot="1">
      <c r="A134" s="5" t="str">
        <f>IF(ROW()-2&gt;SUMIFS(Overview!$K$3:$K$62,Overview!$N$3:$N$62,"OK"),"",LOOKUP(2,1/((Overview!$L$3:$L$62&lt;=ROW()-2)*(Overview!$M$3:$M$62&gt;=ROW()-2)),Overview!$R$3:$R$62))</f>
        <v/>
      </c>
      <c r="B134" s="5" t="str">
        <f>IF(A134="","",LOOKUP(2,1/((Overview!$L$3:$L$62&lt;=ROW()-2)*(Overview!$M$3:$M$62&gt;=ROW()-2)),Overview!$O$3:$O$62))</f>
        <v/>
      </c>
      <c r="C134" s="5" t="str">
        <f>IF(A134="","",LOOKUP(2,1/((Overview!$L$3:$L$62&lt;=ROW()-2)*(Overview!$M$3:$M$62&gt;=ROW()-2)),Overview!$Y$3:$Y$62))</f>
        <v/>
      </c>
      <c r="D134" s="113" t="str">
        <f>IF(A134="","",ROW()-2-LOOKUP(2,1/((Overview!$L$3:$L$62&lt;=ROW()-2)*(Overview!$M$3:$M$62&gt;=ROW()-2)),Overview!$L$3:$L$62)+1)</f>
        <v/>
      </c>
      <c r="E134" s="113" t="str">
        <f>IF(A134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4" s="113" t="str">
        <f>IF(A134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4" s="113" t="str">
        <f>IF(A134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4" s="113" t="str">
        <f>IF(A134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4" s="113" t="str">
        <f>IF(A134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4" s="113" t="str">
        <f>IF(A134="","","image"&amp;D134&amp;LOOKUP(2,1/((Overview!$L$3:$L$62&lt;=ROW()-2)*(Overview!$M$3:$M$62&gt;=ROW()-2)),Overview!$X$3:$X$62))</f>
        <v/>
      </c>
      <c r="K134" s="113" t="str">
        <f t="shared" si="10"/>
        <v/>
      </c>
      <c r="L134" s="111" t="str">
        <f>IF(U134="","",IF(V134=1,U134,IF(X134=1,W134,LEFT(W134,LEN(W134)-LEN(LOOKUP(2,1/((Overview!$L$3:$L$62&lt;=ROW()-2)*(Overview!$M$3:$M$62&gt;=ROW()-2)),Overview!$X$3:$X$62)))&amp;IF(COUNTIF($W$3:W134,W134)=1,"","__"&amp;COUNTIF($W$3:W134,W134))&amp;LOOKUP(2,1/((Overview!$L$3:$L$62&lt;=ROW()-2)*(Overview!$M$3:$M$62&gt;=ROW()-2)),Overview!$X$3:$X$62))))</f>
        <v/>
      </c>
      <c r="M134" s="5" t="str">
        <f>IF(A134="","",LOOKUP(2,1/((Overview!$L$3:$L$62&lt;=ROW()-2)*(Overview!$M$3:$M$62&gt;=ROW()-2)),Overview!$U$3:$U$62))</f>
        <v/>
      </c>
      <c r="N134" s="5" t="str">
        <f>IF(A134="","",LOOKUP(2,1/((Overview!$L$3:$L$62&lt;=ROW()-2)*(Overview!$M$3:$M$62&gt;=ROW()-2)),Overview!$V$3:$V$62))</f>
        <v/>
      </c>
      <c r="O134" s="5" t="str">
        <f>IF(A134="","",LOOKUP(2,1/((Overview!$L$3:$L$62&lt;=ROW()-2)*(Overview!$M$3:$M$62&gt;=ROW()-2)),Overview!$B$3:$B$62))</f>
        <v/>
      </c>
      <c r="P134" s="14" t="str">
        <f>IF(A134="","",LOOKUP(2,1/((Overview!$L$3:$L$62&lt;=ROW()-2)*(Overview!$M$3:$M$62&gt;=ROW()-2)),Overview!$S$3:$S$62))</f>
        <v/>
      </c>
      <c r="Q134" s="5" t="str">
        <f>IF(A134="","",LOOKUP(2,1/((Overview!$L$3:$L$62&lt;=ROW()-2)*(Overview!$M$3:$M$62&gt;=ROW()-2)),Overview!$C$3:$C$62))</f>
        <v/>
      </c>
      <c r="R134" s="22" t="str">
        <f>IF(E134="","",IF(AND(I134&lt;&gt;"",LOOKUP(2,1/((Overview!$L$3:$L$62&lt;=ROW()-2)*(Overview!$M$3:$M$62&gt;=ROW()-2)),Overview!$Z$3:$Z$62)&lt;&gt;""),LEFT(E134,LEN(E134)-LEN(I134))&amp;LOOKUP(2,1/((Overview!$L$3:$L$62&lt;=ROW()-2)*(Overview!$M$3:$M$62&gt;=ROW()-2)),Overview!$Z$3:$Z$62)&amp;" "&amp;I134,E134)&amp;IF(AND(Q134="",LOOKUP(2,1/((Overview!$L$3:$L$62&lt;=ROW()-2)*(Overview!$M$3:$M$62&gt;=ROW()-2)),Overview!$W$3:$W$62)=""),"",", "&amp;IF(Q134&lt;&gt;"",Q134,"")&amp;IF(AND(Q134&lt;&gt;"",LOOKUP(2,1/((Overview!$L$3:$L$62&lt;=ROW()-2)*(Overview!$M$3:$M$62&gt;=ROW()-2)),Overview!$W$3:$W$62)&lt;&gt;""),"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4" t="str">
        <f t="shared" si="11"/>
        <v/>
      </c>
      <c r="U134" s="10" t="str">
        <f>IF(A134="","",O134&amp;IF(LOOKUP(2,1/((Overview!$L$3:$L$62&lt;=ROW()-2)*(Overview!$M$3:$M$62&gt;=ROW()-2)),Overview!$T$3:$T$62)&lt;&gt;"","_"&amp;LOOKUP(2,1/((Overview!$L$3:$L$62&lt;=ROW()-2)*(Overview!$M$3:$M$62&gt;=ROW()-2)),Overview!$T$3:$T$62),"")&amp;IF(Q134&lt;&gt;"","_"&amp;Q134,"")&amp;IF(E134&lt;&gt;"","_"&amp;E134,"")&amp;LOOKUP(2,1/((Overview!$L$3:$L$62&lt;=ROW()-2)*(Overview!$M$3:$M$62&gt;=ROW()-2)),Overview!$X$3:$X$62))</f>
        <v/>
      </c>
      <c r="V134" t="str">
        <f t="shared" si="12"/>
        <v/>
      </c>
      <c r="W134" t="str">
        <f>IF(U134="","",O134&amp;IF(LOOKUP(2,1/((Overview!$L$3:$L$62&lt;=ROW()-2)*(Overview!$M$3:$M$62&gt;=ROW()-2)),Overview!$T$3:$T$62)&lt;&gt;"","_"&amp;LOOKUP(2,1/((Overview!$L$3:$L$62&lt;=ROW()-2)*(Overview!$M$3:$M$62&gt;=ROW()-2)),Overview!$T$3:$T$62),"")&amp;"_"&amp;IF(LEFT(LOWER(TRIM(F134)),3)="set",TRIM(F134),"Set"&amp;TRIM(F134))&amp;IF(Q134&lt;&gt;"","_"&amp;Q134,"")&amp;IF(E134&lt;&gt;"","_"&amp;E134,"")&amp;LOOKUP(2,1/((Overview!$L$3:$L$62&lt;=ROW()-2)*(Overview!$M$3:$M$62&gt;=ROW()-2)),Overview!$X$3:$X$62))</f>
        <v/>
      </c>
      <c r="X134" t="str">
        <f t="shared" si="13"/>
        <v/>
      </c>
    </row>
    <row r="135" spans="1:24" ht="13.9" thickBot="1">
      <c r="A135" s="5" t="str">
        <f>IF(ROW()-2&gt;SUMIFS(Overview!$K$3:$K$62,Overview!$N$3:$N$62,"OK"),"",LOOKUP(2,1/((Overview!$L$3:$L$62&lt;=ROW()-2)*(Overview!$M$3:$M$62&gt;=ROW()-2)),Overview!$R$3:$R$62))</f>
        <v/>
      </c>
      <c r="B135" s="5" t="str">
        <f>IF(A135="","",LOOKUP(2,1/((Overview!$L$3:$L$62&lt;=ROW()-2)*(Overview!$M$3:$M$62&gt;=ROW()-2)),Overview!$O$3:$O$62))</f>
        <v/>
      </c>
      <c r="C135" s="5" t="str">
        <f>IF(A135="","",LOOKUP(2,1/((Overview!$L$3:$L$62&lt;=ROW()-2)*(Overview!$M$3:$M$62&gt;=ROW()-2)),Overview!$Y$3:$Y$62))</f>
        <v/>
      </c>
      <c r="D135" s="113" t="str">
        <f>IF(A135="","",ROW()-2-LOOKUP(2,1/((Overview!$L$3:$L$62&lt;=ROW()-2)*(Overview!$M$3:$M$62&gt;=ROW()-2)),Overview!$L$3:$L$62)+1)</f>
        <v/>
      </c>
      <c r="E135" s="113" t="str">
        <f>IF(A135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5" s="113" t="str">
        <f>IF(A135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5" s="113" t="str">
        <f>IF(A135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5" s="113" t="str">
        <f>IF(A135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5" s="113" t="str">
        <f>IF(A135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5" s="113" t="str">
        <f>IF(A135="","","image"&amp;D135&amp;LOOKUP(2,1/((Overview!$L$3:$L$62&lt;=ROW()-2)*(Overview!$M$3:$M$62&gt;=ROW()-2)),Overview!$X$3:$X$62))</f>
        <v/>
      </c>
      <c r="K135" s="113" t="str">
        <f t="shared" si="10"/>
        <v/>
      </c>
      <c r="L135" s="111" t="str">
        <f>IF(U135="","",IF(V135=1,U135,IF(X135=1,W135,LEFT(W135,LEN(W135)-LEN(LOOKUP(2,1/((Overview!$L$3:$L$62&lt;=ROW()-2)*(Overview!$M$3:$M$62&gt;=ROW()-2)),Overview!$X$3:$X$62)))&amp;IF(COUNTIF($W$3:W135,W135)=1,"","__"&amp;COUNTIF($W$3:W135,W135))&amp;LOOKUP(2,1/((Overview!$L$3:$L$62&lt;=ROW()-2)*(Overview!$M$3:$M$62&gt;=ROW()-2)),Overview!$X$3:$X$62))))</f>
        <v/>
      </c>
      <c r="M135" s="5" t="str">
        <f>IF(A135="","",LOOKUP(2,1/((Overview!$L$3:$L$62&lt;=ROW()-2)*(Overview!$M$3:$M$62&gt;=ROW()-2)),Overview!$U$3:$U$62))</f>
        <v/>
      </c>
      <c r="N135" s="5" t="str">
        <f>IF(A135="","",LOOKUP(2,1/((Overview!$L$3:$L$62&lt;=ROW()-2)*(Overview!$M$3:$M$62&gt;=ROW()-2)),Overview!$V$3:$V$62))</f>
        <v/>
      </c>
      <c r="O135" s="5" t="str">
        <f>IF(A135="","",LOOKUP(2,1/((Overview!$L$3:$L$62&lt;=ROW()-2)*(Overview!$M$3:$M$62&gt;=ROW()-2)),Overview!$B$3:$B$62))</f>
        <v/>
      </c>
      <c r="P135" s="14" t="str">
        <f>IF(A135="","",LOOKUP(2,1/((Overview!$L$3:$L$62&lt;=ROW()-2)*(Overview!$M$3:$M$62&gt;=ROW()-2)),Overview!$S$3:$S$62))</f>
        <v/>
      </c>
      <c r="Q135" s="5" t="str">
        <f>IF(A135="","",LOOKUP(2,1/((Overview!$L$3:$L$62&lt;=ROW()-2)*(Overview!$M$3:$M$62&gt;=ROW()-2)),Overview!$C$3:$C$62))</f>
        <v/>
      </c>
      <c r="R135" s="22" t="str">
        <f>IF(E135="","",IF(AND(I135&lt;&gt;"",LOOKUP(2,1/((Overview!$L$3:$L$62&lt;=ROW()-2)*(Overview!$M$3:$M$62&gt;=ROW()-2)),Overview!$Z$3:$Z$62)&lt;&gt;""),LEFT(E135,LEN(E135)-LEN(I135))&amp;LOOKUP(2,1/((Overview!$L$3:$L$62&lt;=ROW()-2)*(Overview!$M$3:$M$62&gt;=ROW()-2)),Overview!$Z$3:$Z$62)&amp;" "&amp;I135,E135)&amp;IF(AND(Q135="",LOOKUP(2,1/((Overview!$L$3:$L$62&lt;=ROW()-2)*(Overview!$M$3:$M$62&gt;=ROW()-2)),Overview!$W$3:$W$62)=""),"",", "&amp;IF(Q135&lt;&gt;"",Q135,"")&amp;IF(AND(Q135&lt;&gt;"",LOOKUP(2,1/((Overview!$L$3:$L$62&lt;=ROW()-2)*(Overview!$M$3:$M$62&gt;=ROW()-2)),Overview!$W$3:$W$62)&lt;&gt;""),"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5" t="str">
        <f t="shared" si="11"/>
        <v/>
      </c>
      <c r="U135" s="10" t="str">
        <f>IF(A135="","",O135&amp;IF(LOOKUP(2,1/((Overview!$L$3:$L$62&lt;=ROW()-2)*(Overview!$M$3:$M$62&gt;=ROW()-2)),Overview!$T$3:$T$62)&lt;&gt;"","_"&amp;LOOKUP(2,1/((Overview!$L$3:$L$62&lt;=ROW()-2)*(Overview!$M$3:$M$62&gt;=ROW()-2)),Overview!$T$3:$T$62),"")&amp;IF(Q135&lt;&gt;"","_"&amp;Q135,"")&amp;IF(E135&lt;&gt;"","_"&amp;E135,"")&amp;LOOKUP(2,1/((Overview!$L$3:$L$62&lt;=ROW()-2)*(Overview!$M$3:$M$62&gt;=ROW()-2)),Overview!$X$3:$X$62))</f>
        <v/>
      </c>
      <c r="V135" t="str">
        <f t="shared" si="12"/>
        <v/>
      </c>
      <c r="W135" t="str">
        <f>IF(U135="","",O135&amp;IF(LOOKUP(2,1/((Overview!$L$3:$L$62&lt;=ROW()-2)*(Overview!$M$3:$M$62&gt;=ROW()-2)),Overview!$T$3:$T$62)&lt;&gt;"","_"&amp;LOOKUP(2,1/((Overview!$L$3:$L$62&lt;=ROW()-2)*(Overview!$M$3:$M$62&gt;=ROW()-2)),Overview!$T$3:$T$62),"")&amp;"_"&amp;IF(LEFT(LOWER(TRIM(F135)),3)="set",TRIM(F135),"Set"&amp;TRIM(F135))&amp;IF(Q135&lt;&gt;"","_"&amp;Q135,"")&amp;IF(E135&lt;&gt;"","_"&amp;E135,"")&amp;LOOKUP(2,1/((Overview!$L$3:$L$62&lt;=ROW()-2)*(Overview!$M$3:$M$62&gt;=ROW()-2)),Overview!$X$3:$X$62))</f>
        <v/>
      </c>
      <c r="X135" t="str">
        <f t="shared" si="13"/>
        <v/>
      </c>
    </row>
    <row r="136" spans="1:24" ht="13.9" thickBot="1">
      <c r="A136" s="5" t="str">
        <f>IF(ROW()-2&gt;SUMIFS(Overview!$K$3:$K$62,Overview!$N$3:$N$62,"OK"),"",LOOKUP(2,1/((Overview!$L$3:$L$62&lt;=ROW()-2)*(Overview!$M$3:$M$62&gt;=ROW()-2)),Overview!$R$3:$R$62))</f>
        <v/>
      </c>
      <c r="B136" s="5" t="str">
        <f>IF(A136="","",LOOKUP(2,1/((Overview!$L$3:$L$62&lt;=ROW()-2)*(Overview!$M$3:$M$62&gt;=ROW()-2)),Overview!$O$3:$O$62))</f>
        <v/>
      </c>
      <c r="C136" s="5" t="str">
        <f>IF(A136="","",LOOKUP(2,1/((Overview!$L$3:$L$62&lt;=ROW()-2)*(Overview!$M$3:$M$62&gt;=ROW()-2)),Overview!$Y$3:$Y$62))</f>
        <v/>
      </c>
      <c r="D136" s="113" t="str">
        <f>IF(A136="","",ROW()-2-LOOKUP(2,1/((Overview!$L$3:$L$62&lt;=ROW()-2)*(Overview!$M$3:$M$62&gt;=ROW()-2)),Overview!$L$3:$L$62)+1)</f>
        <v/>
      </c>
      <c r="E136" s="113" t="str">
        <f>IF(A136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6" s="113" t="str">
        <f>IF(A136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6" s="113" t="str">
        <f>IF(A136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6" s="113" t="str">
        <f>IF(A136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6" s="113" t="str">
        <f>IF(A136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6" s="113" t="str">
        <f>IF(A136="","","image"&amp;D136&amp;LOOKUP(2,1/((Overview!$L$3:$L$62&lt;=ROW()-2)*(Overview!$M$3:$M$62&gt;=ROW()-2)),Overview!$X$3:$X$62))</f>
        <v/>
      </c>
      <c r="K136" s="113" t="str">
        <f t="shared" si="10"/>
        <v/>
      </c>
      <c r="L136" s="111" t="str">
        <f>IF(U136="","",IF(V136=1,U136,IF(X136=1,W136,LEFT(W136,LEN(W136)-LEN(LOOKUP(2,1/((Overview!$L$3:$L$62&lt;=ROW()-2)*(Overview!$M$3:$M$62&gt;=ROW()-2)),Overview!$X$3:$X$62)))&amp;IF(COUNTIF($W$3:W136,W136)=1,"","__"&amp;COUNTIF($W$3:W136,W136))&amp;LOOKUP(2,1/((Overview!$L$3:$L$62&lt;=ROW()-2)*(Overview!$M$3:$M$62&gt;=ROW()-2)),Overview!$X$3:$X$62))))</f>
        <v/>
      </c>
      <c r="M136" s="5" t="str">
        <f>IF(A136="","",LOOKUP(2,1/((Overview!$L$3:$L$62&lt;=ROW()-2)*(Overview!$M$3:$M$62&gt;=ROW()-2)),Overview!$U$3:$U$62))</f>
        <v/>
      </c>
      <c r="N136" s="5" t="str">
        <f>IF(A136="","",LOOKUP(2,1/((Overview!$L$3:$L$62&lt;=ROW()-2)*(Overview!$M$3:$M$62&gt;=ROW()-2)),Overview!$V$3:$V$62))</f>
        <v/>
      </c>
      <c r="O136" s="5" t="str">
        <f>IF(A136="","",LOOKUP(2,1/((Overview!$L$3:$L$62&lt;=ROW()-2)*(Overview!$M$3:$M$62&gt;=ROW()-2)),Overview!$B$3:$B$62))</f>
        <v/>
      </c>
      <c r="P136" s="14" t="str">
        <f>IF(A136="","",LOOKUP(2,1/((Overview!$L$3:$L$62&lt;=ROW()-2)*(Overview!$M$3:$M$62&gt;=ROW()-2)),Overview!$S$3:$S$62))</f>
        <v/>
      </c>
      <c r="Q136" s="5" t="str">
        <f>IF(A136="","",LOOKUP(2,1/((Overview!$L$3:$L$62&lt;=ROW()-2)*(Overview!$M$3:$M$62&gt;=ROW()-2)),Overview!$C$3:$C$62))</f>
        <v/>
      </c>
      <c r="R136" s="22" t="str">
        <f>IF(E136="","",IF(AND(I136&lt;&gt;"",LOOKUP(2,1/((Overview!$L$3:$L$62&lt;=ROW()-2)*(Overview!$M$3:$M$62&gt;=ROW()-2)),Overview!$Z$3:$Z$62)&lt;&gt;""),LEFT(E136,LEN(E136)-LEN(I136))&amp;LOOKUP(2,1/((Overview!$L$3:$L$62&lt;=ROW()-2)*(Overview!$M$3:$M$62&gt;=ROW()-2)),Overview!$Z$3:$Z$62)&amp;" "&amp;I136,E136)&amp;IF(AND(Q136="",LOOKUP(2,1/((Overview!$L$3:$L$62&lt;=ROW()-2)*(Overview!$M$3:$M$62&gt;=ROW()-2)),Overview!$W$3:$W$62)=""),"",", "&amp;IF(Q136&lt;&gt;"",Q136,"")&amp;IF(AND(Q136&lt;&gt;"",LOOKUP(2,1/((Overview!$L$3:$L$62&lt;=ROW()-2)*(Overview!$M$3:$M$62&gt;=ROW()-2)),Overview!$W$3:$W$62)&lt;&gt;""),"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6" t="str">
        <f t="shared" si="11"/>
        <v/>
      </c>
      <c r="U136" s="10" t="str">
        <f>IF(A136="","",O136&amp;IF(LOOKUP(2,1/((Overview!$L$3:$L$62&lt;=ROW()-2)*(Overview!$M$3:$M$62&gt;=ROW()-2)),Overview!$T$3:$T$62)&lt;&gt;"","_"&amp;LOOKUP(2,1/((Overview!$L$3:$L$62&lt;=ROW()-2)*(Overview!$M$3:$M$62&gt;=ROW()-2)),Overview!$T$3:$T$62),"")&amp;IF(Q136&lt;&gt;"","_"&amp;Q136,"")&amp;IF(E136&lt;&gt;"","_"&amp;E136,"")&amp;LOOKUP(2,1/((Overview!$L$3:$L$62&lt;=ROW()-2)*(Overview!$M$3:$M$62&gt;=ROW()-2)),Overview!$X$3:$X$62))</f>
        <v/>
      </c>
      <c r="V136" t="str">
        <f t="shared" si="12"/>
        <v/>
      </c>
      <c r="W136" t="str">
        <f>IF(U136="","",O136&amp;IF(LOOKUP(2,1/((Overview!$L$3:$L$62&lt;=ROW()-2)*(Overview!$M$3:$M$62&gt;=ROW()-2)),Overview!$T$3:$T$62)&lt;&gt;"","_"&amp;LOOKUP(2,1/((Overview!$L$3:$L$62&lt;=ROW()-2)*(Overview!$M$3:$M$62&gt;=ROW()-2)),Overview!$T$3:$T$62),"")&amp;"_"&amp;IF(LEFT(LOWER(TRIM(F136)),3)="set",TRIM(F136),"Set"&amp;TRIM(F136))&amp;IF(Q136&lt;&gt;"","_"&amp;Q136,"")&amp;IF(E136&lt;&gt;"","_"&amp;E136,"")&amp;LOOKUP(2,1/((Overview!$L$3:$L$62&lt;=ROW()-2)*(Overview!$M$3:$M$62&gt;=ROW()-2)),Overview!$X$3:$X$62))</f>
        <v/>
      </c>
      <c r="X136" t="str">
        <f t="shared" si="13"/>
        <v/>
      </c>
    </row>
    <row r="137" spans="1:24" ht="13.9" thickBot="1">
      <c r="A137" s="5" t="str">
        <f>IF(ROW()-2&gt;SUMIFS(Overview!$K$3:$K$62,Overview!$N$3:$N$62,"OK"),"",LOOKUP(2,1/((Overview!$L$3:$L$62&lt;=ROW()-2)*(Overview!$M$3:$M$62&gt;=ROW()-2)),Overview!$R$3:$R$62))</f>
        <v/>
      </c>
      <c r="B137" s="5" t="str">
        <f>IF(A137="","",LOOKUP(2,1/((Overview!$L$3:$L$62&lt;=ROW()-2)*(Overview!$M$3:$M$62&gt;=ROW()-2)),Overview!$O$3:$O$62))</f>
        <v/>
      </c>
      <c r="C137" s="5" t="str">
        <f>IF(A137="","",LOOKUP(2,1/((Overview!$L$3:$L$62&lt;=ROW()-2)*(Overview!$M$3:$M$62&gt;=ROW()-2)),Overview!$Y$3:$Y$62))</f>
        <v/>
      </c>
      <c r="D137" s="113" t="str">
        <f>IF(A137="","",ROW()-2-LOOKUP(2,1/((Overview!$L$3:$L$62&lt;=ROW()-2)*(Overview!$M$3:$M$62&gt;=ROW()-2)),Overview!$L$3:$L$62)+1)</f>
        <v/>
      </c>
      <c r="E137" s="113" t="str">
        <f>IF(A137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7" s="113" t="str">
        <f>IF(A137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7" s="113" t="str">
        <f>IF(A137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7" s="113" t="str">
        <f>IF(A137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7" s="113" t="str">
        <f>IF(A137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7" s="113" t="str">
        <f>IF(A137="","","image"&amp;D137&amp;LOOKUP(2,1/((Overview!$L$3:$L$62&lt;=ROW()-2)*(Overview!$M$3:$M$62&gt;=ROW()-2)),Overview!$X$3:$X$62))</f>
        <v/>
      </c>
      <c r="K137" s="113" t="str">
        <f t="shared" si="10"/>
        <v/>
      </c>
      <c r="L137" s="111" t="str">
        <f>IF(U137="","",IF(V137=1,U137,IF(X137=1,W137,LEFT(W137,LEN(W137)-LEN(LOOKUP(2,1/((Overview!$L$3:$L$62&lt;=ROW()-2)*(Overview!$M$3:$M$62&gt;=ROW()-2)),Overview!$X$3:$X$62)))&amp;IF(COUNTIF($W$3:W137,W137)=1,"","__"&amp;COUNTIF($W$3:W137,W137))&amp;LOOKUP(2,1/((Overview!$L$3:$L$62&lt;=ROW()-2)*(Overview!$M$3:$M$62&gt;=ROW()-2)),Overview!$X$3:$X$62))))</f>
        <v/>
      </c>
      <c r="M137" s="5" t="str">
        <f>IF(A137="","",LOOKUP(2,1/((Overview!$L$3:$L$62&lt;=ROW()-2)*(Overview!$M$3:$M$62&gt;=ROW()-2)),Overview!$U$3:$U$62))</f>
        <v/>
      </c>
      <c r="N137" s="5" t="str">
        <f>IF(A137="","",LOOKUP(2,1/((Overview!$L$3:$L$62&lt;=ROW()-2)*(Overview!$M$3:$M$62&gt;=ROW()-2)),Overview!$V$3:$V$62))</f>
        <v/>
      </c>
      <c r="O137" s="5" t="str">
        <f>IF(A137="","",LOOKUP(2,1/((Overview!$L$3:$L$62&lt;=ROW()-2)*(Overview!$M$3:$M$62&gt;=ROW()-2)),Overview!$B$3:$B$62))</f>
        <v/>
      </c>
      <c r="P137" s="14" t="str">
        <f>IF(A137="","",LOOKUP(2,1/((Overview!$L$3:$L$62&lt;=ROW()-2)*(Overview!$M$3:$M$62&gt;=ROW()-2)),Overview!$S$3:$S$62))</f>
        <v/>
      </c>
      <c r="Q137" s="5" t="str">
        <f>IF(A137="","",LOOKUP(2,1/((Overview!$L$3:$L$62&lt;=ROW()-2)*(Overview!$M$3:$M$62&gt;=ROW()-2)),Overview!$C$3:$C$62))</f>
        <v/>
      </c>
      <c r="R137" s="22" t="str">
        <f>IF(E137="","",IF(AND(I137&lt;&gt;"",LOOKUP(2,1/((Overview!$L$3:$L$62&lt;=ROW()-2)*(Overview!$M$3:$M$62&gt;=ROW()-2)),Overview!$Z$3:$Z$62)&lt;&gt;""),LEFT(E137,LEN(E137)-LEN(I137))&amp;LOOKUP(2,1/((Overview!$L$3:$L$62&lt;=ROW()-2)*(Overview!$M$3:$M$62&gt;=ROW()-2)),Overview!$Z$3:$Z$62)&amp;" "&amp;I137,E137)&amp;IF(AND(Q137="",LOOKUP(2,1/((Overview!$L$3:$L$62&lt;=ROW()-2)*(Overview!$M$3:$M$62&gt;=ROW()-2)),Overview!$W$3:$W$62)=""),"",", "&amp;IF(Q137&lt;&gt;"",Q137,"")&amp;IF(AND(Q137&lt;&gt;"",LOOKUP(2,1/((Overview!$L$3:$L$62&lt;=ROW()-2)*(Overview!$M$3:$M$62&gt;=ROW()-2)),Overview!$W$3:$W$62)&lt;&gt;""),"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7" t="str">
        <f t="shared" si="11"/>
        <v/>
      </c>
      <c r="U137" s="10" t="str">
        <f>IF(A137="","",O137&amp;IF(LOOKUP(2,1/((Overview!$L$3:$L$62&lt;=ROW()-2)*(Overview!$M$3:$M$62&gt;=ROW()-2)),Overview!$T$3:$T$62)&lt;&gt;"","_"&amp;LOOKUP(2,1/((Overview!$L$3:$L$62&lt;=ROW()-2)*(Overview!$M$3:$M$62&gt;=ROW()-2)),Overview!$T$3:$T$62),"")&amp;IF(Q137&lt;&gt;"","_"&amp;Q137,"")&amp;IF(E137&lt;&gt;"","_"&amp;E137,"")&amp;LOOKUP(2,1/((Overview!$L$3:$L$62&lt;=ROW()-2)*(Overview!$M$3:$M$62&gt;=ROW()-2)),Overview!$X$3:$X$62))</f>
        <v/>
      </c>
      <c r="V137" t="str">
        <f t="shared" si="12"/>
        <v/>
      </c>
      <c r="W137" t="str">
        <f>IF(U137="","",O137&amp;IF(LOOKUP(2,1/((Overview!$L$3:$L$62&lt;=ROW()-2)*(Overview!$M$3:$M$62&gt;=ROW()-2)),Overview!$T$3:$T$62)&lt;&gt;"","_"&amp;LOOKUP(2,1/((Overview!$L$3:$L$62&lt;=ROW()-2)*(Overview!$M$3:$M$62&gt;=ROW()-2)),Overview!$T$3:$T$62),"")&amp;"_"&amp;IF(LEFT(LOWER(TRIM(F137)),3)="set",TRIM(F137),"Set"&amp;TRIM(F137))&amp;IF(Q137&lt;&gt;"","_"&amp;Q137,"")&amp;IF(E137&lt;&gt;"","_"&amp;E137,"")&amp;LOOKUP(2,1/((Overview!$L$3:$L$62&lt;=ROW()-2)*(Overview!$M$3:$M$62&gt;=ROW()-2)),Overview!$X$3:$X$62))</f>
        <v/>
      </c>
      <c r="X137" t="str">
        <f t="shared" si="13"/>
        <v/>
      </c>
    </row>
    <row r="138" spans="1:24" ht="13.9" thickBot="1">
      <c r="A138" s="5" t="str">
        <f>IF(ROW()-2&gt;SUMIFS(Overview!$K$3:$K$62,Overview!$N$3:$N$62,"OK"),"",LOOKUP(2,1/((Overview!$L$3:$L$62&lt;=ROW()-2)*(Overview!$M$3:$M$62&gt;=ROW()-2)),Overview!$R$3:$R$62))</f>
        <v/>
      </c>
      <c r="B138" s="5" t="str">
        <f>IF(A138="","",LOOKUP(2,1/((Overview!$L$3:$L$62&lt;=ROW()-2)*(Overview!$M$3:$M$62&gt;=ROW()-2)),Overview!$O$3:$O$62))</f>
        <v/>
      </c>
      <c r="C138" s="5" t="str">
        <f>IF(A138="","",LOOKUP(2,1/((Overview!$L$3:$L$62&lt;=ROW()-2)*(Overview!$M$3:$M$62&gt;=ROW()-2)),Overview!$Y$3:$Y$62))</f>
        <v/>
      </c>
      <c r="D138" s="113" t="str">
        <f>IF(A138="","",ROW()-2-LOOKUP(2,1/((Overview!$L$3:$L$62&lt;=ROW()-2)*(Overview!$M$3:$M$62&gt;=ROW()-2)),Overview!$L$3:$L$62)+1)</f>
        <v/>
      </c>
      <c r="E138" s="113" t="str">
        <f>IF(A138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8" s="113" t="str">
        <f>IF(A138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8" s="113" t="str">
        <f>IF(A138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8" s="113" t="str">
        <f>IF(A138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8" s="113" t="str">
        <f>IF(A138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8" s="113" t="str">
        <f>IF(A138="","","image"&amp;D138&amp;LOOKUP(2,1/((Overview!$L$3:$L$62&lt;=ROW()-2)*(Overview!$M$3:$M$62&gt;=ROW()-2)),Overview!$X$3:$X$62))</f>
        <v/>
      </c>
      <c r="K138" s="113" t="str">
        <f t="shared" si="10"/>
        <v/>
      </c>
      <c r="L138" s="111" t="str">
        <f>IF(U138="","",IF(V138=1,U138,IF(X138=1,W138,LEFT(W138,LEN(W138)-LEN(LOOKUP(2,1/((Overview!$L$3:$L$62&lt;=ROW()-2)*(Overview!$M$3:$M$62&gt;=ROW()-2)),Overview!$X$3:$X$62)))&amp;IF(COUNTIF($W$3:W138,W138)=1,"","__"&amp;COUNTIF($W$3:W138,W138))&amp;LOOKUP(2,1/((Overview!$L$3:$L$62&lt;=ROW()-2)*(Overview!$M$3:$M$62&gt;=ROW()-2)),Overview!$X$3:$X$62))))</f>
        <v/>
      </c>
      <c r="M138" s="5" t="str">
        <f>IF(A138="","",LOOKUP(2,1/((Overview!$L$3:$L$62&lt;=ROW()-2)*(Overview!$M$3:$M$62&gt;=ROW()-2)),Overview!$U$3:$U$62))</f>
        <v/>
      </c>
      <c r="N138" s="5" t="str">
        <f>IF(A138="","",LOOKUP(2,1/((Overview!$L$3:$L$62&lt;=ROW()-2)*(Overview!$M$3:$M$62&gt;=ROW()-2)),Overview!$V$3:$V$62))</f>
        <v/>
      </c>
      <c r="O138" s="5" t="str">
        <f>IF(A138="","",LOOKUP(2,1/((Overview!$L$3:$L$62&lt;=ROW()-2)*(Overview!$M$3:$M$62&gt;=ROW()-2)),Overview!$B$3:$B$62))</f>
        <v/>
      </c>
      <c r="P138" s="14" t="str">
        <f>IF(A138="","",LOOKUP(2,1/((Overview!$L$3:$L$62&lt;=ROW()-2)*(Overview!$M$3:$M$62&gt;=ROW()-2)),Overview!$S$3:$S$62))</f>
        <v/>
      </c>
      <c r="Q138" s="5" t="str">
        <f>IF(A138="","",LOOKUP(2,1/((Overview!$L$3:$L$62&lt;=ROW()-2)*(Overview!$M$3:$M$62&gt;=ROW()-2)),Overview!$C$3:$C$62))</f>
        <v/>
      </c>
      <c r="R138" s="22" t="str">
        <f>IF(E138="","",IF(AND(I138&lt;&gt;"",LOOKUP(2,1/((Overview!$L$3:$L$62&lt;=ROW()-2)*(Overview!$M$3:$M$62&gt;=ROW()-2)),Overview!$Z$3:$Z$62)&lt;&gt;""),LEFT(E138,LEN(E138)-LEN(I138))&amp;LOOKUP(2,1/((Overview!$L$3:$L$62&lt;=ROW()-2)*(Overview!$M$3:$M$62&gt;=ROW()-2)),Overview!$Z$3:$Z$62)&amp;" "&amp;I138,E138)&amp;IF(AND(Q138="",LOOKUP(2,1/((Overview!$L$3:$L$62&lt;=ROW()-2)*(Overview!$M$3:$M$62&gt;=ROW()-2)),Overview!$W$3:$W$62)=""),"",", "&amp;IF(Q138&lt;&gt;"",Q138,"")&amp;IF(AND(Q138&lt;&gt;"",LOOKUP(2,1/((Overview!$L$3:$L$62&lt;=ROW()-2)*(Overview!$M$3:$M$62&gt;=ROW()-2)),Overview!$W$3:$W$62)&lt;&gt;""),"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8" t="str">
        <f t="shared" si="11"/>
        <v/>
      </c>
      <c r="U138" s="10" t="str">
        <f>IF(A138="","",O138&amp;IF(LOOKUP(2,1/((Overview!$L$3:$L$62&lt;=ROW()-2)*(Overview!$M$3:$M$62&gt;=ROW()-2)),Overview!$T$3:$T$62)&lt;&gt;"","_"&amp;LOOKUP(2,1/((Overview!$L$3:$L$62&lt;=ROW()-2)*(Overview!$M$3:$M$62&gt;=ROW()-2)),Overview!$T$3:$T$62),"")&amp;IF(Q138&lt;&gt;"","_"&amp;Q138,"")&amp;IF(E138&lt;&gt;"","_"&amp;E138,"")&amp;LOOKUP(2,1/((Overview!$L$3:$L$62&lt;=ROW()-2)*(Overview!$M$3:$M$62&gt;=ROW()-2)),Overview!$X$3:$X$62))</f>
        <v/>
      </c>
      <c r="V138" t="str">
        <f t="shared" si="12"/>
        <v/>
      </c>
      <c r="W138" t="str">
        <f>IF(U138="","",O138&amp;IF(LOOKUP(2,1/((Overview!$L$3:$L$62&lt;=ROW()-2)*(Overview!$M$3:$M$62&gt;=ROW()-2)),Overview!$T$3:$T$62)&lt;&gt;"","_"&amp;LOOKUP(2,1/((Overview!$L$3:$L$62&lt;=ROW()-2)*(Overview!$M$3:$M$62&gt;=ROW()-2)),Overview!$T$3:$T$62),"")&amp;"_"&amp;IF(LEFT(LOWER(TRIM(F138)),3)="set",TRIM(F138),"Set"&amp;TRIM(F138))&amp;IF(Q138&lt;&gt;"","_"&amp;Q138,"")&amp;IF(E138&lt;&gt;"","_"&amp;E138,"")&amp;LOOKUP(2,1/((Overview!$L$3:$L$62&lt;=ROW()-2)*(Overview!$M$3:$M$62&gt;=ROW()-2)),Overview!$X$3:$X$62))</f>
        <v/>
      </c>
      <c r="X138" t="str">
        <f t="shared" si="13"/>
        <v/>
      </c>
    </row>
    <row r="139" spans="1:24" ht="13.9" thickBot="1">
      <c r="A139" s="5" t="str">
        <f>IF(ROW()-2&gt;SUMIFS(Overview!$K$3:$K$62,Overview!$N$3:$N$62,"OK"),"",LOOKUP(2,1/((Overview!$L$3:$L$62&lt;=ROW()-2)*(Overview!$M$3:$M$62&gt;=ROW()-2)),Overview!$R$3:$R$62))</f>
        <v/>
      </c>
      <c r="B139" s="5" t="str">
        <f>IF(A139="","",LOOKUP(2,1/((Overview!$L$3:$L$62&lt;=ROW()-2)*(Overview!$M$3:$M$62&gt;=ROW()-2)),Overview!$O$3:$O$62))</f>
        <v/>
      </c>
      <c r="C139" s="5" t="str">
        <f>IF(A139="","",LOOKUP(2,1/((Overview!$L$3:$L$62&lt;=ROW()-2)*(Overview!$M$3:$M$62&gt;=ROW()-2)),Overview!$Y$3:$Y$62))</f>
        <v/>
      </c>
      <c r="D139" s="113" t="str">
        <f>IF(A139="","",ROW()-2-LOOKUP(2,1/((Overview!$L$3:$L$62&lt;=ROW()-2)*(Overview!$M$3:$M$62&gt;=ROW()-2)),Overview!$L$3:$L$62)+1)</f>
        <v/>
      </c>
      <c r="E139" s="113" t="str">
        <f>IF(A139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39" s="113" t="str">
        <f>IF(A139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39" s="113" t="str">
        <f>IF(A139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39" s="113" t="str">
        <f>IF(A139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39" s="113" t="str">
        <f>IF(A139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39" s="113" t="str">
        <f>IF(A139="","","image"&amp;D139&amp;LOOKUP(2,1/((Overview!$L$3:$L$62&lt;=ROW()-2)*(Overview!$M$3:$M$62&gt;=ROW()-2)),Overview!$X$3:$X$62))</f>
        <v/>
      </c>
      <c r="K139" s="113" t="str">
        <f t="shared" si="10"/>
        <v/>
      </c>
      <c r="L139" s="111" t="str">
        <f>IF(U139="","",IF(V139=1,U139,IF(X139=1,W139,LEFT(W139,LEN(W139)-LEN(LOOKUP(2,1/((Overview!$L$3:$L$62&lt;=ROW()-2)*(Overview!$M$3:$M$62&gt;=ROW()-2)),Overview!$X$3:$X$62)))&amp;IF(COUNTIF($W$3:W139,W139)=1,"","__"&amp;COUNTIF($W$3:W139,W139))&amp;LOOKUP(2,1/((Overview!$L$3:$L$62&lt;=ROW()-2)*(Overview!$M$3:$M$62&gt;=ROW()-2)),Overview!$X$3:$X$62))))</f>
        <v/>
      </c>
      <c r="M139" s="5" t="str">
        <f>IF(A139="","",LOOKUP(2,1/((Overview!$L$3:$L$62&lt;=ROW()-2)*(Overview!$M$3:$M$62&gt;=ROW()-2)),Overview!$U$3:$U$62))</f>
        <v/>
      </c>
      <c r="N139" s="5" t="str">
        <f>IF(A139="","",LOOKUP(2,1/((Overview!$L$3:$L$62&lt;=ROW()-2)*(Overview!$M$3:$M$62&gt;=ROW()-2)),Overview!$V$3:$V$62))</f>
        <v/>
      </c>
      <c r="O139" s="5" t="str">
        <f>IF(A139="","",LOOKUP(2,1/((Overview!$L$3:$L$62&lt;=ROW()-2)*(Overview!$M$3:$M$62&gt;=ROW()-2)),Overview!$B$3:$B$62))</f>
        <v/>
      </c>
      <c r="P139" s="14" t="str">
        <f>IF(A139="","",LOOKUP(2,1/((Overview!$L$3:$L$62&lt;=ROW()-2)*(Overview!$M$3:$M$62&gt;=ROW()-2)),Overview!$S$3:$S$62))</f>
        <v/>
      </c>
      <c r="Q139" s="5" t="str">
        <f>IF(A139="","",LOOKUP(2,1/((Overview!$L$3:$L$62&lt;=ROW()-2)*(Overview!$M$3:$M$62&gt;=ROW()-2)),Overview!$C$3:$C$62))</f>
        <v/>
      </c>
      <c r="R139" s="22" t="str">
        <f>IF(E139="","",IF(AND(I139&lt;&gt;"",LOOKUP(2,1/((Overview!$L$3:$L$62&lt;=ROW()-2)*(Overview!$M$3:$M$62&gt;=ROW()-2)),Overview!$Z$3:$Z$62)&lt;&gt;""),LEFT(E139,LEN(E139)-LEN(I139))&amp;LOOKUP(2,1/((Overview!$L$3:$L$62&lt;=ROW()-2)*(Overview!$M$3:$M$62&gt;=ROW()-2)),Overview!$Z$3:$Z$62)&amp;" "&amp;I139,E139)&amp;IF(AND(Q139="",LOOKUP(2,1/((Overview!$L$3:$L$62&lt;=ROW()-2)*(Overview!$M$3:$M$62&gt;=ROW()-2)),Overview!$W$3:$W$62)=""),"",", "&amp;IF(Q139&lt;&gt;"",Q139,"")&amp;IF(AND(Q139&lt;&gt;"",LOOKUP(2,1/((Overview!$L$3:$L$62&lt;=ROW()-2)*(Overview!$M$3:$M$62&gt;=ROW()-2)),Overview!$W$3:$W$62)&lt;&gt;""),"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39" t="str">
        <f t="shared" si="11"/>
        <v/>
      </c>
      <c r="U139" s="10" t="str">
        <f>IF(A139="","",O139&amp;IF(LOOKUP(2,1/((Overview!$L$3:$L$62&lt;=ROW()-2)*(Overview!$M$3:$M$62&gt;=ROW()-2)),Overview!$T$3:$T$62)&lt;&gt;"","_"&amp;LOOKUP(2,1/((Overview!$L$3:$L$62&lt;=ROW()-2)*(Overview!$M$3:$M$62&gt;=ROW()-2)),Overview!$T$3:$T$62),"")&amp;IF(Q139&lt;&gt;"","_"&amp;Q139,"")&amp;IF(E139&lt;&gt;"","_"&amp;E139,"")&amp;LOOKUP(2,1/((Overview!$L$3:$L$62&lt;=ROW()-2)*(Overview!$M$3:$M$62&gt;=ROW()-2)),Overview!$X$3:$X$62))</f>
        <v/>
      </c>
      <c r="V139" t="str">
        <f t="shared" si="12"/>
        <v/>
      </c>
      <c r="W139" t="str">
        <f>IF(U139="","",O139&amp;IF(LOOKUP(2,1/((Overview!$L$3:$L$62&lt;=ROW()-2)*(Overview!$M$3:$M$62&gt;=ROW()-2)),Overview!$T$3:$T$62)&lt;&gt;"","_"&amp;LOOKUP(2,1/((Overview!$L$3:$L$62&lt;=ROW()-2)*(Overview!$M$3:$M$62&gt;=ROW()-2)),Overview!$T$3:$T$62),"")&amp;"_"&amp;IF(LEFT(LOWER(TRIM(F139)),3)="set",TRIM(F139),"Set"&amp;TRIM(F139))&amp;IF(Q139&lt;&gt;"","_"&amp;Q139,"")&amp;IF(E139&lt;&gt;"","_"&amp;E139,"")&amp;LOOKUP(2,1/((Overview!$L$3:$L$62&lt;=ROW()-2)*(Overview!$M$3:$M$62&gt;=ROW()-2)),Overview!$X$3:$X$62))</f>
        <v/>
      </c>
      <c r="X139" t="str">
        <f t="shared" si="13"/>
        <v/>
      </c>
    </row>
    <row r="140" spans="1:24" ht="13.9" thickBot="1">
      <c r="A140" s="5" t="str">
        <f>IF(ROW()-2&gt;SUMIFS(Overview!$K$3:$K$62,Overview!$N$3:$N$62,"OK"),"",LOOKUP(2,1/((Overview!$L$3:$L$62&lt;=ROW()-2)*(Overview!$M$3:$M$62&gt;=ROW()-2)),Overview!$R$3:$R$62))</f>
        <v/>
      </c>
      <c r="B140" s="5" t="str">
        <f>IF(A140="","",LOOKUP(2,1/((Overview!$L$3:$L$62&lt;=ROW()-2)*(Overview!$M$3:$M$62&gt;=ROW()-2)),Overview!$O$3:$O$62))</f>
        <v/>
      </c>
      <c r="C140" s="5" t="str">
        <f>IF(A140="","",LOOKUP(2,1/((Overview!$L$3:$L$62&lt;=ROW()-2)*(Overview!$M$3:$M$62&gt;=ROW()-2)),Overview!$Y$3:$Y$62))</f>
        <v/>
      </c>
      <c r="D140" s="113" t="str">
        <f>IF(A140="","",ROW()-2-LOOKUP(2,1/((Overview!$L$3:$L$62&lt;=ROW()-2)*(Overview!$M$3:$M$62&gt;=ROW()-2)),Overview!$L$3:$L$62)+1)</f>
        <v/>
      </c>
      <c r="E140" s="113" t="str">
        <f>IF(A140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0" s="113" t="str">
        <f>IF(A140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0" s="113" t="str">
        <f>IF(A140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0" s="113" t="str">
        <f>IF(A140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0" s="113" t="str">
        <f>IF(A140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0" s="113" t="str">
        <f>IF(A140="","","image"&amp;D140&amp;LOOKUP(2,1/((Overview!$L$3:$L$62&lt;=ROW()-2)*(Overview!$M$3:$M$62&gt;=ROW()-2)),Overview!$X$3:$X$62))</f>
        <v/>
      </c>
      <c r="K140" s="113" t="str">
        <f t="shared" si="10"/>
        <v/>
      </c>
      <c r="L140" s="111" t="str">
        <f>IF(U140="","",IF(V140=1,U140,IF(X140=1,W140,LEFT(W140,LEN(W140)-LEN(LOOKUP(2,1/((Overview!$L$3:$L$62&lt;=ROW()-2)*(Overview!$M$3:$M$62&gt;=ROW()-2)),Overview!$X$3:$X$62)))&amp;IF(COUNTIF($W$3:W140,W140)=1,"","__"&amp;COUNTIF($W$3:W140,W140))&amp;LOOKUP(2,1/((Overview!$L$3:$L$62&lt;=ROW()-2)*(Overview!$M$3:$M$62&gt;=ROW()-2)),Overview!$X$3:$X$62))))</f>
        <v/>
      </c>
      <c r="M140" s="5" t="str">
        <f>IF(A140="","",LOOKUP(2,1/((Overview!$L$3:$L$62&lt;=ROW()-2)*(Overview!$M$3:$M$62&gt;=ROW()-2)),Overview!$U$3:$U$62))</f>
        <v/>
      </c>
      <c r="N140" s="5" t="str">
        <f>IF(A140="","",LOOKUP(2,1/((Overview!$L$3:$L$62&lt;=ROW()-2)*(Overview!$M$3:$M$62&gt;=ROW()-2)),Overview!$V$3:$V$62))</f>
        <v/>
      </c>
      <c r="O140" s="5" t="str">
        <f>IF(A140="","",LOOKUP(2,1/((Overview!$L$3:$L$62&lt;=ROW()-2)*(Overview!$M$3:$M$62&gt;=ROW()-2)),Overview!$B$3:$B$62))</f>
        <v/>
      </c>
      <c r="P140" s="14" t="str">
        <f>IF(A140="","",LOOKUP(2,1/((Overview!$L$3:$L$62&lt;=ROW()-2)*(Overview!$M$3:$M$62&gt;=ROW()-2)),Overview!$S$3:$S$62))</f>
        <v/>
      </c>
      <c r="Q140" s="5" t="str">
        <f>IF(A140="","",LOOKUP(2,1/((Overview!$L$3:$L$62&lt;=ROW()-2)*(Overview!$M$3:$M$62&gt;=ROW()-2)),Overview!$C$3:$C$62))</f>
        <v/>
      </c>
      <c r="R140" s="22" t="str">
        <f>IF(E140="","",IF(AND(I140&lt;&gt;"",LOOKUP(2,1/((Overview!$L$3:$L$62&lt;=ROW()-2)*(Overview!$M$3:$M$62&gt;=ROW()-2)),Overview!$Z$3:$Z$62)&lt;&gt;""),LEFT(E140,LEN(E140)-LEN(I140))&amp;LOOKUP(2,1/((Overview!$L$3:$L$62&lt;=ROW()-2)*(Overview!$M$3:$M$62&gt;=ROW()-2)),Overview!$Z$3:$Z$62)&amp;" "&amp;I140,E140)&amp;IF(AND(Q140="",LOOKUP(2,1/((Overview!$L$3:$L$62&lt;=ROW()-2)*(Overview!$M$3:$M$62&gt;=ROW()-2)),Overview!$W$3:$W$62)=""),"",", "&amp;IF(Q140&lt;&gt;"",Q140,"")&amp;IF(AND(Q140&lt;&gt;"",LOOKUP(2,1/((Overview!$L$3:$L$62&lt;=ROW()-2)*(Overview!$M$3:$M$62&gt;=ROW()-2)),Overview!$W$3:$W$62)&lt;&gt;""),"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0" t="str">
        <f t="shared" si="11"/>
        <v/>
      </c>
      <c r="U140" s="10" t="str">
        <f>IF(A140="","",O140&amp;IF(LOOKUP(2,1/((Overview!$L$3:$L$62&lt;=ROW()-2)*(Overview!$M$3:$M$62&gt;=ROW()-2)),Overview!$T$3:$T$62)&lt;&gt;"","_"&amp;LOOKUP(2,1/((Overview!$L$3:$L$62&lt;=ROW()-2)*(Overview!$M$3:$M$62&gt;=ROW()-2)),Overview!$T$3:$T$62),"")&amp;IF(Q140&lt;&gt;"","_"&amp;Q140,"")&amp;IF(E140&lt;&gt;"","_"&amp;E140,"")&amp;LOOKUP(2,1/((Overview!$L$3:$L$62&lt;=ROW()-2)*(Overview!$M$3:$M$62&gt;=ROW()-2)),Overview!$X$3:$X$62))</f>
        <v/>
      </c>
      <c r="V140" t="str">
        <f t="shared" si="12"/>
        <v/>
      </c>
      <c r="W140" t="str">
        <f>IF(U140="","",O140&amp;IF(LOOKUP(2,1/((Overview!$L$3:$L$62&lt;=ROW()-2)*(Overview!$M$3:$M$62&gt;=ROW()-2)),Overview!$T$3:$T$62)&lt;&gt;"","_"&amp;LOOKUP(2,1/((Overview!$L$3:$L$62&lt;=ROW()-2)*(Overview!$M$3:$M$62&gt;=ROW()-2)),Overview!$T$3:$T$62),"")&amp;"_"&amp;IF(LEFT(LOWER(TRIM(F140)),3)="set",TRIM(F140),"Set"&amp;TRIM(F140))&amp;IF(Q140&lt;&gt;"","_"&amp;Q140,"")&amp;IF(E140&lt;&gt;"","_"&amp;E140,"")&amp;LOOKUP(2,1/((Overview!$L$3:$L$62&lt;=ROW()-2)*(Overview!$M$3:$M$62&gt;=ROW()-2)),Overview!$X$3:$X$62))</f>
        <v/>
      </c>
      <c r="X140" t="str">
        <f t="shared" si="13"/>
        <v/>
      </c>
    </row>
    <row r="141" spans="1:24" ht="13.9" thickBot="1">
      <c r="A141" s="5" t="str">
        <f>IF(ROW()-2&gt;SUMIFS(Overview!$K$3:$K$62,Overview!$N$3:$N$62,"OK"),"",LOOKUP(2,1/((Overview!$L$3:$L$62&lt;=ROW()-2)*(Overview!$M$3:$M$62&gt;=ROW()-2)),Overview!$R$3:$R$62))</f>
        <v/>
      </c>
      <c r="B141" s="5" t="str">
        <f>IF(A141="","",LOOKUP(2,1/((Overview!$L$3:$L$62&lt;=ROW()-2)*(Overview!$M$3:$M$62&gt;=ROW()-2)),Overview!$O$3:$O$62))</f>
        <v/>
      </c>
      <c r="C141" s="5" t="str">
        <f>IF(A141="","",LOOKUP(2,1/((Overview!$L$3:$L$62&lt;=ROW()-2)*(Overview!$M$3:$M$62&gt;=ROW()-2)),Overview!$Y$3:$Y$62))</f>
        <v/>
      </c>
      <c r="D141" s="113" t="str">
        <f>IF(A141="","",ROW()-2-LOOKUP(2,1/((Overview!$L$3:$L$62&lt;=ROW()-2)*(Overview!$M$3:$M$62&gt;=ROW()-2)),Overview!$L$3:$L$62)+1)</f>
        <v/>
      </c>
      <c r="E141" s="113" t="str">
        <f>IF(A141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1" s="113" t="str">
        <f>IF(A141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1" s="113" t="str">
        <f>IF(A141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1" s="113" t="str">
        <f>IF(A141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1" s="113" t="str">
        <f>IF(A141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1" s="113" t="str">
        <f>IF(A141="","","image"&amp;D141&amp;LOOKUP(2,1/((Overview!$L$3:$L$62&lt;=ROW()-2)*(Overview!$M$3:$M$62&gt;=ROW()-2)),Overview!$X$3:$X$62))</f>
        <v/>
      </c>
      <c r="K141" s="113" t="str">
        <f t="shared" si="10"/>
        <v/>
      </c>
      <c r="L141" s="111" t="str">
        <f>IF(U141="","",IF(V141=1,U141,IF(X141=1,W141,LEFT(W141,LEN(W141)-LEN(LOOKUP(2,1/((Overview!$L$3:$L$62&lt;=ROW()-2)*(Overview!$M$3:$M$62&gt;=ROW()-2)),Overview!$X$3:$X$62)))&amp;IF(COUNTIF($W$3:W141,W141)=1,"","__"&amp;COUNTIF($W$3:W141,W141))&amp;LOOKUP(2,1/((Overview!$L$3:$L$62&lt;=ROW()-2)*(Overview!$M$3:$M$62&gt;=ROW()-2)),Overview!$X$3:$X$62))))</f>
        <v/>
      </c>
      <c r="M141" s="5" t="str">
        <f>IF(A141="","",LOOKUP(2,1/((Overview!$L$3:$L$62&lt;=ROW()-2)*(Overview!$M$3:$M$62&gt;=ROW()-2)),Overview!$U$3:$U$62))</f>
        <v/>
      </c>
      <c r="N141" s="5" t="str">
        <f>IF(A141="","",LOOKUP(2,1/((Overview!$L$3:$L$62&lt;=ROW()-2)*(Overview!$M$3:$M$62&gt;=ROW()-2)),Overview!$V$3:$V$62))</f>
        <v/>
      </c>
      <c r="O141" s="5" t="str">
        <f>IF(A141="","",LOOKUP(2,1/((Overview!$L$3:$L$62&lt;=ROW()-2)*(Overview!$M$3:$M$62&gt;=ROW()-2)),Overview!$B$3:$B$62))</f>
        <v/>
      </c>
      <c r="P141" s="14" t="str">
        <f>IF(A141="","",LOOKUP(2,1/((Overview!$L$3:$L$62&lt;=ROW()-2)*(Overview!$M$3:$M$62&gt;=ROW()-2)),Overview!$S$3:$S$62))</f>
        <v/>
      </c>
      <c r="Q141" s="5" t="str">
        <f>IF(A141="","",LOOKUP(2,1/((Overview!$L$3:$L$62&lt;=ROW()-2)*(Overview!$M$3:$M$62&gt;=ROW()-2)),Overview!$C$3:$C$62))</f>
        <v/>
      </c>
      <c r="R141" s="22" t="str">
        <f>IF(E141="","",IF(AND(I141&lt;&gt;"",LOOKUP(2,1/((Overview!$L$3:$L$62&lt;=ROW()-2)*(Overview!$M$3:$M$62&gt;=ROW()-2)),Overview!$Z$3:$Z$62)&lt;&gt;""),LEFT(E141,LEN(E141)-LEN(I141))&amp;LOOKUP(2,1/((Overview!$L$3:$L$62&lt;=ROW()-2)*(Overview!$M$3:$M$62&gt;=ROW()-2)),Overview!$Z$3:$Z$62)&amp;" "&amp;I141,E141)&amp;IF(AND(Q141="",LOOKUP(2,1/((Overview!$L$3:$L$62&lt;=ROW()-2)*(Overview!$M$3:$M$62&gt;=ROW()-2)),Overview!$W$3:$W$62)=""),"",", "&amp;IF(Q141&lt;&gt;"",Q141,"")&amp;IF(AND(Q141&lt;&gt;"",LOOKUP(2,1/((Overview!$L$3:$L$62&lt;=ROW()-2)*(Overview!$M$3:$M$62&gt;=ROW()-2)),Overview!$W$3:$W$62)&lt;&gt;""),"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1" t="str">
        <f t="shared" si="11"/>
        <v/>
      </c>
      <c r="U141" s="10" t="str">
        <f>IF(A141="","",O141&amp;IF(LOOKUP(2,1/((Overview!$L$3:$L$62&lt;=ROW()-2)*(Overview!$M$3:$M$62&gt;=ROW()-2)),Overview!$T$3:$T$62)&lt;&gt;"","_"&amp;LOOKUP(2,1/((Overview!$L$3:$L$62&lt;=ROW()-2)*(Overview!$M$3:$M$62&gt;=ROW()-2)),Overview!$T$3:$T$62),"")&amp;IF(Q141&lt;&gt;"","_"&amp;Q141,"")&amp;IF(E141&lt;&gt;"","_"&amp;E141,"")&amp;LOOKUP(2,1/((Overview!$L$3:$L$62&lt;=ROW()-2)*(Overview!$M$3:$M$62&gt;=ROW()-2)),Overview!$X$3:$X$62))</f>
        <v/>
      </c>
      <c r="V141" t="str">
        <f t="shared" si="12"/>
        <v/>
      </c>
      <c r="W141" t="str">
        <f>IF(U141="","",O141&amp;IF(LOOKUP(2,1/((Overview!$L$3:$L$62&lt;=ROW()-2)*(Overview!$M$3:$M$62&gt;=ROW()-2)),Overview!$T$3:$T$62)&lt;&gt;"","_"&amp;LOOKUP(2,1/((Overview!$L$3:$L$62&lt;=ROW()-2)*(Overview!$M$3:$M$62&gt;=ROW()-2)),Overview!$T$3:$T$62),"")&amp;"_"&amp;IF(LEFT(LOWER(TRIM(F141)),3)="set",TRIM(F141),"Set"&amp;TRIM(F141))&amp;IF(Q141&lt;&gt;"","_"&amp;Q141,"")&amp;IF(E141&lt;&gt;"","_"&amp;E141,"")&amp;LOOKUP(2,1/((Overview!$L$3:$L$62&lt;=ROW()-2)*(Overview!$M$3:$M$62&gt;=ROW()-2)),Overview!$X$3:$X$62))</f>
        <v/>
      </c>
      <c r="X141" t="str">
        <f t="shared" si="13"/>
        <v/>
      </c>
    </row>
    <row r="142" spans="1:24" ht="13.9" thickBot="1">
      <c r="A142" s="5" t="str">
        <f>IF(ROW()-2&gt;SUMIFS(Overview!$K$3:$K$62,Overview!$N$3:$N$62,"OK"),"",LOOKUP(2,1/((Overview!$L$3:$L$62&lt;=ROW()-2)*(Overview!$M$3:$M$62&gt;=ROW()-2)),Overview!$R$3:$R$62))</f>
        <v/>
      </c>
      <c r="B142" s="5" t="str">
        <f>IF(A142="","",LOOKUP(2,1/((Overview!$L$3:$L$62&lt;=ROW()-2)*(Overview!$M$3:$M$62&gt;=ROW()-2)),Overview!$O$3:$O$62))</f>
        <v/>
      </c>
      <c r="C142" s="5" t="str">
        <f>IF(A142="","",LOOKUP(2,1/((Overview!$L$3:$L$62&lt;=ROW()-2)*(Overview!$M$3:$M$62&gt;=ROW()-2)),Overview!$Y$3:$Y$62))</f>
        <v/>
      </c>
      <c r="D142" s="113" t="str">
        <f>IF(A142="","",ROW()-2-LOOKUP(2,1/((Overview!$L$3:$L$62&lt;=ROW()-2)*(Overview!$M$3:$M$62&gt;=ROW()-2)),Overview!$L$3:$L$62)+1)</f>
        <v/>
      </c>
      <c r="E142" s="113" t="str">
        <f>IF(A142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2" s="113" t="str">
        <f>IF(A142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2" s="113" t="str">
        <f>IF(A142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2" s="113" t="str">
        <f>IF(A142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2" s="113" t="str">
        <f>IF(A142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2" s="113" t="str">
        <f>IF(A142="","","image"&amp;D142&amp;LOOKUP(2,1/((Overview!$L$3:$L$62&lt;=ROW()-2)*(Overview!$M$3:$M$62&gt;=ROW()-2)),Overview!$X$3:$X$62))</f>
        <v/>
      </c>
      <c r="K142" s="113" t="str">
        <f t="shared" si="10"/>
        <v/>
      </c>
      <c r="L142" s="111" t="str">
        <f>IF(U142="","",IF(V142=1,U142,IF(X142=1,W142,LEFT(W142,LEN(W142)-LEN(LOOKUP(2,1/((Overview!$L$3:$L$62&lt;=ROW()-2)*(Overview!$M$3:$M$62&gt;=ROW()-2)),Overview!$X$3:$X$62)))&amp;IF(COUNTIF($W$3:W142,W142)=1,"","__"&amp;COUNTIF($W$3:W142,W142))&amp;LOOKUP(2,1/((Overview!$L$3:$L$62&lt;=ROW()-2)*(Overview!$M$3:$M$62&gt;=ROW()-2)),Overview!$X$3:$X$62))))</f>
        <v/>
      </c>
      <c r="M142" s="5" t="str">
        <f>IF(A142="","",LOOKUP(2,1/((Overview!$L$3:$L$62&lt;=ROW()-2)*(Overview!$M$3:$M$62&gt;=ROW()-2)),Overview!$U$3:$U$62))</f>
        <v/>
      </c>
      <c r="N142" s="5" t="str">
        <f>IF(A142="","",LOOKUP(2,1/((Overview!$L$3:$L$62&lt;=ROW()-2)*(Overview!$M$3:$M$62&gt;=ROW()-2)),Overview!$V$3:$V$62))</f>
        <v/>
      </c>
      <c r="O142" s="5" t="str">
        <f>IF(A142="","",LOOKUP(2,1/((Overview!$L$3:$L$62&lt;=ROW()-2)*(Overview!$M$3:$M$62&gt;=ROW()-2)),Overview!$B$3:$B$62))</f>
        <v/>
      </c>
      <c r="P142" s="14" t="str">
        <f>IF(A142="","",LOOKUP(2,1/((Overview!$L$3:$L$62&lt;=ROW()-2)*(Overview!$M$3:$M$62&gt;=ROW()-2)),Overview!$S$3:$S$62))</f>
        <v/>
      </c>
      <c r="Q142" s="5" t="str">
        <f>IF(A142="","",LOOKUP(2,1/((Overview!$L$3:$L$62&lt;=ROW()-2)*(Overview!$M$3:$M$62&gt;=ROW()-2)),Overview!$C$3:$C$62))</f>
        <v/>
      </c>
      <c r="R142" s="22" t="str">
        <f>IF(E142="","",IF(AND(I142&lt;&gt;"",LOOKUP(2,1/((Overview!$L$3:$L$62&lt;=ROW()-2)*(Overview!$M$3:$M$62&gt;=ROW()-2)),Overview!$Z$3:$Z$62)&lt;&gt;""),LEFT(E142,LEN(E142)-LEN(I142))&amp;LOOKUP(2,1/((Overview!$L$3:$L$62&lt;=ROW()-2)*(Overview!$M$3:$M$62&gt;=ROW()-2)),Overview!$Z$3:$Z$62)&amp;" "&amp;I142,E142)&amp;IF(AND(Q142="",LOOKUP(2,1/((Overview!$L$3:$L$62&lt;=ROW()-2)*(Overview!$M$3:$M$62&gt;=ROW()-2)),Overview!$W$3:$W$62)=""),"",", "&amp;IF(Q142&lt;&gt;"",Q142,"")&amp;IF(AND(Q142&lt;&gt;"",LOOKUP(2,1/((Overview!$L$3:$L$62&lt;=ROW()-2)*(Overview!$M$3:$M$62&gt;=ROW()-2)),Overview!$W$3:$W$62)&lt;&gt;""),"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2" t="str">
        <f t="shared" si="11"/>
        <v/>
      </c>
      <c r="U142" s="10" t="str">
        <f>IF(A142="","",O142&amp;IF(LOOKUP(2,1/((Overview!$L$3:$L$62&lt;=ROW()-2)*(Overview!$M$3:$M$62&gt;=ROW()-2)),Overview!$T$3:$T$62)&lt;&gt;"","_"&amp;LOOKUP(2,1/((Overview!$L$3:$L$62&lt;=ROW()-2)*(Overview!$M$3:$M$62&gt;=ROW()-2)),Overview!$T$3:$T$62),"")&amp;IF(Q142&lt;&gt;"","_"&amp;Q142,"")&amp;IF(E142&lt;&gt;"","_"&amp;E142,"")&amp;LOOKUP(2,1/((Overview!$L$3:$L$62&lt;=ROW()-2)*(Overview!$M$3:$M$62&gt;=ROW()-2)),Overview!$X$3:$X$62))</f>
        <v/>
      </c>
      <c r="V142" t="str">
        <f t="shared" si="12"/>
        <v/>
      </c>
      <c r="W142" t="str">
        <f>IF(U142="","",O142&amp;IF(LOOKUP(2,1/((Overview!$L$3:$L$62&lt;=ROW()-2)*(Overview!$M$3:$M$62&gt;=ROW()-2)),Overview!$T$3:$T$62)&lt;&gt;"","_"&amp;LOOKUP(2,1/((Overview!$L$3:$L$62&lt;=ROW()-2)*(Overview!$M$3:$M$62&gt;=ROW()-2)),Overview!$T$3:$T$62),"")&amp;"_"&amp;IF(LEFT(LOWER(TRIM(F142)),3)="set",TRIM(F142),"Set"&amp;TRIM(F142))&amp;IF(Q142&lt;&gt;"","_"&amp;Q142,"")&amp;IF(E142&lt;&gt;"","_"&amp;E142,"")&amp;LOOKUP(2,1/((Overview!$L$3:$L$62&lt;=ROW()-2)*(Overview!$M$3:$M$62&gt;=ROW()-2)),Overview!$X$3:$X$62))</f>
        <v/>
      </c>
      <c r="X142" t="str">
        <f t="shared" si="13"/>
        <v/>
      </c>
    </row>
    <row r="143" spans="1:24" ht="13.9" thickBot="1">
      <c r="A143" s="5" t="str">
        <f>IF(ROW()-2&gt;SUMIFS(Overview!$K$3:$K$62,Overview!$N$3:$N$62,"OK"),"",LOOKUP(2,1/((Overview!$L$3:$L$62&lt;=ROW()-2)*(Overview!$M$3:$M$62&gt;=ROW()-2)),Overview!$R$3:$R$62))</f>
        <v/>
      </c>
      <c r="B143" s="5" t="str">
        <f>IF(A143="","",LOOKUP(2,1/((Overview!$L$3:$L$62&lt;=ROW()-2)*(Overview!$M$3:$M$62&gt;=ROW()-2)),Overview!$O$3:$O$62))</f>
        <v/>
      </c>
      <c r="C143" s="5" t="str">
        <f>IF(A143="","",LOOKUP(2,1/((Overview!$L$3:$L$62&lt;=ROW()-2)*(Overview!$M$3:$M$62&gt;=ROW()-2)),Overview!$Y$3:$Y$62))</f>
        <v/>
      </c>
      <c r="D143" s="113" t="str">
        <f>IF(A143="","",ROW()-2-LOOKUP(2,1/((Overview!$L$3:$L$62&lt;=ROW()-2)*(Overview!$M$3:$M$62&gt;=ROW()-2)),Overview!$L$3:$L$62)+1)</f>
        <v/>
      </c>
      <c r="E143" s="113" t="str">
        <f>IF(A143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3" s="113" t="str">
        <f>IF(A143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3" s="113" t="str">
        <f>IF(A143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3" s="113" t="str">
        <f>IF(A143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3" s="113" t="str">
        <f>IF(A143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3" s="113" t="str">
        <f>IF(A143="","","image"&amp;D143&amp;LOOKUP(2,1/((Overview!$L$3:$L$62&lt;=ROW()-2)*(Overview!$M$3:$M$62&gt;=ROW()-2)),Overview!$X$3:$X$62))</f>
        <v/>
      </c>
      <c r="K143" s="113" t="str">
        <f t="shared" si="10"/>
        <v/>
      </c>
      <c r="L143" s="111" t="str">
        <f>IF(U143="","",IF(V143=1,U143,IF(X143=1,W143,LEFT(W143,LEN(W143)-LEN(LOOKUP(2,1/((Overview!$L$3:$L$62&lt;=ROW()-2)*(Overview!$M$3:$M$62&gt;=ROW()-2)),Overview!$X$3:$X$62)))&amp;IF(COUNTIF($W$3:W143,W143)=1,"","__"&amp;COUNTIF($W$3:W143,W143))&amp;LOOKUP(2,1/((Overview!$L$3:$L$62&lt;=ROW()-2)*(Overview!$M$3:$M$62&gt;=ROW()-2)),Overview!$X$3:$X$62))))</f>
        <v/>
      </c>
      <c r="M143" s="5" t="str">
        <f>IF(A143="","",LOOKUP(2,1/((Overview!$L$3:$L$62&lt;=ROW()-2)*(Overview!$M$3:$M$62&gt;=ROW()-2)),Overview!$U$3:$U$62))</f>
        <v/>
      </c>
      <c r="N143" s="5" t="str">
        <f>IF(A143="","",LOOKUP(2,1/((Overview!$L$3:$L$62&lt;=ROW()-2)*(Overview!$M$3:$M$62&gt;=ROW()-2)),Overview!$V$3:$V$62))</f>
        <v/>
      </c>
      <c r="O143" s="5" t="str">
        <f>IF(A143="","",LOOKUP(2,1/((Overview!$L$3:$L$62&lt;=ROW()-2)*(Overview!$M$3:$M$62&gt;=ROW()-2)),Overview!$B$3:$B$62))</f>
        <v/>
      </c>
      <c r="P143" s="14" t="str">
        <f>IF(A143="","",LOOKUP(2,1/((Overview!$L$3:$L$62&lt;=ROW()-2)*(Overview!$M$3:$M$62&gt;=ROW()-2)),Overview!$S$3:$S$62))</f>
        <v/>
      </c>
      <c r="Q143" s="5" t="str">
        <f>IF(A143="","",LOOKUP(2,1/((Overview!$L$3:$L$62&lt;=ROW()-2)*(Overview!$M$3:$M$62&gt;=ROW()-2)),Overview!$C$3:$C$62))</f>
        <v/>
      </c>
      <c r="R143" s="22" t="str">
        <f>IF(E143="","",IF(AND(I143&lt;&gt;"",LOOKUP(2,1/((Overview!$L$3:$L$62&lt;=ROW()-2)*(Overview!$M$3:$M$62&gt;=ROW()-2)),Overview!$Z$3:$Z$62)&lt;&gt;""),LEFT(E143,LEN(E143)-LEN(I143))&amp;LOOKUP(2,1/((Overview!$L$3:$L$62&lt;=ROW()-2)*(Overview!$M$3:$M$62&gt;=ROW()-2)),Overview!$Z$3:$Z$62)&amp;" "&amp;I143,E143)&amp;IF(AND(Q143="",LOOKUP(2,1/((Overview!$L$3:$L$62&lt;=ROW()-2)*(Overview!$M$3:$M$62&gt;=ROW()-2)),Overview!$W$3:$W$62)=""),"",", "&amp;IF(Q143&lt;&gt;"",Q143,"")&amp;IF(AND(Q143&lt;&gt;"",LOOKUP(2,1/((Overview!$L$3:$L$62&lt;=ROW()-2)*(Overview!$M$3:$M$62&gt;=ROW()-2)),Overview!$W$3:$W$62)&lt;&gt;""),"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3" t="str">
        <f t="shared" si="11"/>
        <v/>
      </c>
      <c r="U143" s="10" t="str">
        <f>IF(A143="","",O143&amp;IF(LOOKUP(2,1/((Overview!$L$3:$L$62&lt;=ROW()-2)*(Overview!$M$3:$M$62&gt;=ROW()-2)),Overview!$T$3:$T$62)&lt;&gt;"","_"&amp;LOOKUP(2,1/((Overview!$L$3:$L$62&lt;=ROW()-2)*(Overview!$M$3:$M$62&gt;=ROW()-2)),Overview!$T$3:$T$62),"")&amp;IF(Q143&lt;&gt;"","_"&amp;Q143,"")&amp;IF(E143&lt;&gt;"","_"&amp;E143,"")&amp;LOOKUP(2,1/((Overview!$L$3:$L$62&lt;=ROW()-2)*(Overview!$M$3:$M$62&gt;=ROW()-2)),Overview!$X$3:$X$62))</f>
        <v/>
      </c>
      <c r="V143" t="str">
        <f t="shared" si="12"/>
        <v/>
      </c>
      <c r="W143" t="str">
        <f>IF(U143="","",O143&amp;IF(LOOKUP(2,1/((Overview!$L$3:$L$62&lt;=ROW()-2)*(Overview!$M$3:$M$62&gt;=ROW()-2)),Overview!$T$3:$T$62)&lt;&gt;"","_"&amp;LOOKUP(2,1/((Overview!$L$3:$L$62&lt;=ROW()-2)*(Overview!$M$3:$M$62&gt;=ROW()-2)),Overview!$T$3:$T$62),"")&amp;"_"&amp;IF(LEFT(LOWER(TRIM(F143)),3)="set",TRIM(F143),"Set"&amp;TRIM(F143))&amp;IF(Q143&lt;&gt;"","_"&amp;Q143,"")&amp;IF(E143&lt;&gt;"","_"&amp;E143,"")&amp;LOOKUP(2,1/((Overview!$L$3:$L$62&lt;=ROW()-2)*(Overview!$M$3:$M$62&gt;=ROW()-2)),Overview!$X$3:$X$62))</f>
        <v/>
      </c>
      <c r="X143" t="str">
        <f t="shared" si="13"/>
        <v/>
      </c>
    </row>
    <row r="144" spans="1:24" ht="13.9" thickBot="1">
      <c r="A144" s="5" t="str">
        <f>IF(ROW()-2&gt;SUMIFS(Overview!$K$3:$K$62,Overview!$N$3:$N$62,"OK"),"",LOOKUP(2,1/((Overview!$L$3:$L$62&lt;=ROW()-2)*(Overview!$M$3:$M$62&gt;=ROW()-2)),Overview!$R$3:$R$62))</f>
        <v/>
      </c>
      <c r="B144" s="5" t="str">
        <f>IF(A144="","",LOOKUP(2,1/((Overview!$L$3:$L$62&lt;=ROW()-2)*(Overview!$M$3:$M$62&gt;=ROW()-2)),Overview!$O$3:$O$62))</f>
        <v/>
      </c>
      <c r="C144" s="5" t="str">
        <f>IF(A144="","",LOOKUP(2,1/((Overview!$L$3:$L$62&lt;=ROW()-2)*(Overview!$M$3:$M$62&gt;=ROW()-2)),Overview!$Y$3:$Y$62))</f>
        <v/>
      </c>
      <c r="D144" s="113" t="str">
        <f>IF(A144="","",ROW()-2-LOOKUP(2,1/((Overview!$L$3:$L$62&lt;=ROW()-2)*(Overview!$M$3:$M$62&gt;=ROW()-2)),Overview!$L$3:$L$62)+1)</f>
        <v/>
      </c>
      <c r="E144" s="113" t="str">
        <f>IF(A144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4" s="113" t="str">
        <f>IF(A144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4" s="113" t="str">
        <f>IF(A144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4" s="113" t="str">
        <f>IF(A144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4" s="113" t="str">
        <f>IF(A144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4" s="113" t="str">
        <f>IF(A144="","","image"&amp;D144&amp;LOOKUP(2,1/((Overview!$L$3:$L$62&lt;=ROW()-2)*(Overview!$M$3:$M$62&gt;=ROW()-2)),Overview!$X$3:$X$62))</f>
        <v/>
      </c>
      <c r="K144" s="113" t="str">
        <f t="shared" si="10"/>
        <v/>
      </c>
      <c r="L144" s="111" t="str">
        <f>IF(U144="","",IF(V144=1,U144,IF(X144=1,W144,LEFT(W144,LEN(W144)-LEN(LOOKUP(2,1/((Overview!$L$3:$L$62&lt;=ROW()-2)*(Overview!$M$3:$M$62&gt;=ROW()-2)),Overview!$X$3:$X$62)))&amp;IF(COUNTIF($W$3:W144,W144)=1,"","__"&amp;COUNTIF($W$3:W144,W144))&amp;LOOKUP(2,1/((Overview!$L$3:$L$62&lt;=ROW()-2)*(Overview!$M$3:$M$62&gt;=ROW()-2)),Overview!$X$3:$X$62))))</f>
        <v/>
      </c>
      <c r="M144" s="5" t="str">
        <f>IF(A144="","",LOOKUP(2,1/((Overview!$L$3:$L$62&lt;=ROW()-2)*(Overview!$M$3:$M$62&gt;=ROW()-2)),Overview!$U$3:$U$62))</f>
        <v/>
      </c>
      <c r="N144" s="5" t="str">
        <f>IF(A144="","",LOOKUP(2,1/((Overview!$L$3:$L$62&lt;=ROW()-2)*(Overview!$M$3:$M$62&gt;=ROW()-2)),Overview!$V$3:$V$62))</f>
        <v/>
      </c>
      <c r="O144" s="5" t="str">
        <f>IF(A144="","",LOOKUP(2,1/((Overview!$L$3:$L$62&lt;=ROW()-2)*(Overview!$M$3:$M$62&gt;=ROW()-2)),Overview!$B$3:$B$62))</f>
        <v/>
      </c>
      <c r="P144" s="14" t="str">
        <f>IF(A144="","",LOOKUP(2,1/((Overview!$L$3:$L$62&lt;=ROW()-2)*(Overview!$M$3:$M$62&gt;=ROW()-2)),Overview!$S$3:$S$62))</f>
        <v/>
      </c>
      <c r="Q144" s="5" t="str">
        <f>IF(A144="","",LOOKUP(2,1/((Overview!$L$3:$L$62&lt;=ROW()-2)*(Overview!$M$3:$M$62&gt;=ROW()-2)),Overview!$C$3:$C$62))</f>
        <v/>
      </c>
      <c r="R144" s="22" t="str">
        <f>IF(E144="","",IF(AND(I144&lt;&gt;"",LOOKUP(2,1/((Overview!$L$3:$L$62&lt;=ROW()-2)*(Overview!$M$3:$M$62&gt;=ROW()-2)),Overview!$Z$3:$Z$62)&lt;&gt;""),LEFT(E144,LEN(E144)-LEN(I144))&amp;LOOKUP(2,1/((Overview!$L$3:$L$62&lt;=ROW()-2)*(Overview!$M$3:$M$62&gt;=ROW()-2)),Overview!$Z$3:$Z$62)&amp;" "&amp;I144,E144)&amp;IF(AND(Q144="",LOOKUP(2,1/((Overview!$L$3:$L$62&lt;=ROW()-2)*(Overview!$M$3:$M$62&gt;=ROW()-2)),Overview!$W$3:$W$62)=""),"",", "&amp;IF(Q144&lt;&gt;"",Q144,"")&amp;IF(AND(Q144&lt;&gt;"",LOOKUP(2,1/((Overview!$L$3:$L$62&lt;=ROW()-2)*(Overview!$M$3:$M$62&gt;=ROW()-2)),Overview!$W$3:$W$62)&lt;&gt;""),"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4" t="str">
        <f t="shared" si="11"/>
        <v/>
      </c>
      <c r="U144" s="10" t="str">
        <f>IF(A144="","",O144&amp;IF(LOOKUP(2,1/((Overview!$L$3:$L$62&lt;=ROW()-2)*(Overview!$M$3:$M$62&gt;=ROW()-2)),Overview!$T$3:$T$62)&lt;&gt;"","_"&amp;LOOKUP(2,1/((Overview!$L$3:$L$62&lt;=ROW()-2)*(Overview!$M$3:$M$62&gt;=ROW()-2)),Overview!$T$3:$T$62),"")&amp;IF(Q144&lt;&gt;"","_"&amp;Q144,"")&amp;IF(E144&lt;&gt;"","_"&amp;E144,"")&amp;LOOKUP(2,1/((Overview!$L$3:$L$62&lt;=ROW()-2)*(Overview!$M$3:$M$62&gt;=ROW()-2)),Overview!$X$3:$X$62))</f>
        <v/>
      </c>
      <c r="V144" t="str">
        <f t="shared" si="12"/>
        <v/>
      </c>
      <c r="W144" t="str">
        <f>IF(U144="","",O144&amp;IF(LOOKUP(2,1/((Overview!$L$3:$L$62&lt;=ROW()-2)*(Overview!$M$3:$M$62&gt;=ROW()-2)),Overview!$T$3:$T$62)&lt;&gt;"","_"&amp;LOOKUP(2,1/((Overview!$L$3:$L$62&lt;=ROW()-2)*(Overview!$M$3:$M$62&gt;=ROW()-2)),Overview!$T$3:$T$62),"")&amp;"_"&amp;IF(LEFT(LOWER(TRIM(F144)),3)="set",TRIM(F144),"Set"&amp;TRIM(F144))&amp;IF(Q144&lt;&gt;"","_"&amp;Q144,"")&amp;IF(E144&lt;&gt;"","_"&amp;E144,"")&amp;LOOKUP(2,1/((Overview!$L$3:$L$62&lt;=ROW()-2)*(Overview!$M$3:$M$62&gt;=ROW()-2)),Overview!$X$3:$X$62))</f>
        <v/>
      </c>
      <c r="X144" t="str">
        <f t="shared" si="13"/>
        <v/>
      </c>
    </row>
    <row r="145" spans="1:24" ht="13.9" thickBot="1">
      <c r="A145" s="5" t="str">
        <f>IF(ROW()-2&gt;SUMIFS(Overview!$K$3:$K$62,Overview!$N$3:$N$62,"OK"),"",LOOKUP(2,1/((Overview!$L$3:$L$62&lt;=ROW()-2)*(Overview!$M$3:$M$62&gt;=ROW()-2)),Overview!$R$3:$R$62))</f>
        <v/>
      </c>
      <c r="B145" s="5" t="str">
        <f>IF(A145="","",LOOKUP(2,1/((Overview!$L$3:$L$62&lt;=ROW()-2)*(Overview!$M$3:$M$62&gt;=ROW()-2)),Overview!$O$3:$O$62))</f>
        <v/>
      </c>
      <c r="C145" s="5" t="str">
        <f>IF(A145="","",LOOKUP(2,1/((Overview!$L$3:$L$62&lt;=ROW()-2)*(Overview!$M$3:$M$62&gt;=ROW()-2)),Overview!$Y$3:$Y$62))</f>
        <v/>
      </c>
      <c r="D145" s="113" t="str">
        <f>IF(A145="","",ROW()-2-LOOKUP(2,1/((Overview!$L$3:$L$62&lt;=ROW()-2)*(Overview!$M$3:$M$62&gt;=ROW()-2)),Overview!$L$3:$L$62)+1)</f>
        <v/>
      </c>
      <c r="E145" s="113" t="str">
        <f>IF(A145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5" s="113" t="str">
        <f>IF(A145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5" s="113" t="str">
        <f>IF(A145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5" s="113" t="str">
        <f>IF(A145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5" s="113" t="str">
        <f>IF(A145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5" s="113" t="str">
        <f>IF(A145="","","image"&amp;D145&amp;LOOKUP(2,1/((Overview!$L$3:$L$62&lt;=ROW()-2)*(Overview!$M$3:$M$62&gt;=ROW()-2)),Overview!$X$3:$X$62))</f>
        <v/>
      </c>
      <c r="K145" s="113" t="str">
        <f t="shared" si="10"/>
        <v/>
      </c>
      <c r="L145" s="111" t="str">
        <f>IF(U145="","",IF(V145=1,U145,IF(X145=1,W145,LEFT(W145,LEN(W145)-LEN(LOOKUP(2,1/((Overview!$L$3:$L$62&lt;=ROW()-2)*(Overview!$M$3:$M$62&gt;=ROW()-2)),Overview!$X$3:$X$62)))&amp;IF(COUNTIF($W$3:W145,W145)=1,"","__"&amp;COUNTIF($W$3:W145,W145))&amp;LOOKUP(2,1/((Overview!$L$3:$L$62&lt;=ROW()-2)*(Overview!$M$3:$M$62&gt;=ROW()-2)),Overview!$X$3:$X$62))))</f>
        <v/>
      </c>
      <c r="M145" s="5" t="str">
        <f>IF(A145="","",LOOKUP(2,1/((Overview!$L$3:$L$62&lt;=ROW()-2)*(Overview!$M$3:$M$62&gt;=ROW()-2)),Overview!$U$3:$U$62))</f>
        <v/>
      </c>
      <c r="N145" s="5" t="str">
        <f>IF(A145="","",LOOKUP(2,1/((Overview!$L$3:$L$62&lt;=ROW()-2)*(Overview!$M$3:$M$62&gt;=ROW()-2)),Overview!$V$3:$V$62))</f>
        <v/>
      </c>
      <c r="O145" s="5" t="str">
        <f>IF(A145="","",LOOKUP(2,1/((Overview!$L$3:$L$62&lt;=ROW()-2)*(Overview!$M$3:$M$62&gt;=ROW()-2)),Overview!$B$3:$B$62))</f>
        <v/>
      </c>
      <c r="P145" s="14" t="str">
        <f>IF(A145="","",LOOKUP(2,1/((Overview!$L$3:$L$62&lt;=ROW()-2)*(Overview!$M$3:$M$62&gt;=ROW()-2)),Overview!$S$3:$S$62))</f>
        <v/>
      </c>
      <c r="Q145" s="5" t="str">
        <f>IF(A145="","",LOOKUP(2,1/((Overview!$L$3:$L$62&lt;=ROW()-2)*(Overview!$M$3:$M$62&gt;=ROW()-2)),Overview!$C$3:$C$62))</f>
        <v/>
      </c>
      <c r="R145" s="22" t="str">
        <f>IF(E145="","",IF(AND(I145&lt;&gt;"",LOOKUP(2,1/((Overview!$L$3:$L$62&lt;=ROW()-2)*(Overview!$M$3:$M$62&gt;=ROW()-2)),Overview!$Z$3:$Z$62)&lt;&gt;""),LEFT(E145,LEN(E145)-LEN(I145))&amp;LOOKUP(2,1/((Overview!$L$3:$L$62&lt;=ROW()-2)*(Overview!$M$3:$M$62&gt;=ROW()-2)),Overview!$Z$3:$Z$62)&amp;" "&amp;I145,E145)&amp;IF(AND(Q145="",LOOKUP(2,1/((Overview!$L$3:$L$62&lt;=ROW()-2)*(Overview!$M$3:$M$62&gt;=ROW()-2)),Overview!$W$3:$W$62)=""),"",", "&amp;IF(Q145&lt;&gt;"",Q145,"")&amp;IF(AND(Q145&lt;&gt;"",LOOKUP(2,1/((Overview!$L$3:$L$62&lt;=ROW()-2)*(Overview!$M$3:$M$62&gt;=ROW()-2)),Overview!$W$3:$W$62)&lt;&gt;""),"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5" t="str">
        <f t="shared" si="11"/>
        <v/>
      </c>
      <c r="U145" s="10" t="str">
        <f>IF(A145="","",O145&amp;IF(LOOKUP(2,1/((Overview!$L$3:$L$62&lt;=ROW()-2)*(Overview!$M$3:$M$62&gt;=ROW()-2)),Overview!$T$3:$T$62)&lt;&gt;"","_"&amp;LOOKUP(2,1/((Overview!$L$3:$L$62&lt;=ROW()-2)*(Overview!$M$3:$M$62&gt;=ROW()-2)),Overview!$T$3:$T$62),"")&amp;IF(Q145&lt;&gt;"","_"&amp;Q145,"")&amp;IF(E145&lt;&gt;"","_"&amp;E145,"")&amp;LOOKUP(2,1/((Overview!$L$3:$L$62&lt;=ROW()-2)*(Overview!$M$3:$M$62&gt;=ROW()-2)),Overview!$X$3:$X$62))</f>
        <v/>
      </c>
      <c r="V145" t="str">
        <f t="shared" si="12"/>
        <v/>
      </c>
      <c r="W145" t="str">
        <f>IF(U145="","",O145&amp;IF(LOOKUP(2,1/((Overview!$L$3:$L$62&lt;=ROW()-2)*(Overview!$M$3:$M$62&gt;=ROW()-2)),Overview!$T$3:$T$62)&lt;&gt;"","_"&amp;LOOKUP(2,1/((Overview!$L$3:$L$62&lt;=ROW()-2)*(Overview!$M$3:$M$62&gt;=ROW()-2)),Overview!$T$3:$T$62),"")&amp;"_"&amp;IF(LEFT(LOWER(TRIM(F145)),3)="set",TRIM(F145),"Set"&amp;TRIM(F145))&amp;IF(Q145&lt;&gt;"","_"&amp;Q145,"")&amp;IF(E145&lt;&gt;"","_"&amp;E145,"")&amp;LOOKUP(2,1/((Overview!$L$3:$L$62&lt;=ROW()-2)*(Overview!$M$3:$M$62&gt;=ROW()-2)),Overview!$X$3:$X$62))</f>
        <v/>
      </c>
      <c r="X145" t="str">
        <f t="shared" si="13"/>
        <v/>
      </c>
    </row>
    <row r="146" spans="1:24" ht="13.9" thickBot="1">
      <c r="A146" s="5" t="str">
        <f>IF(ROW()-2&gt;SUMIFS(Overview!$K$3:$K$62,Overview!$N$3:$N$62,"OK"),"",LOOKUP(2,1/((Overview!$L$3:$L$62&lt;=ROW()-2)*(Overview!$M$3:$M$62&gt;=ROW()-2)),Overview!$R$3:$R$62))</f>
        <v/>
      </c>
      <c r="B146" s="5" t="str">
        <f>IF(A146="","",LOOKUP(2,1/((Overview!$L$3:$L$62&lt;=ROW()-2)*(Overview!$M$3:$M$62&gt;=ROW()-2)),Overview!$O$3:$O$62))</f>
        <v/>
      </c>
      <c r="C146" s="5" t="str">
        <f>IF(A146="","",LOOKUP(2,1/((Overview!$L$3:$L$62&lt;=ROW()-2)*(Overview!$M$3:$M$62&gt;=ROW()-2)),Overview!$Y$3:$Y$62))</f>
        <v/>
      </c>
      <c r="D146" s="113" t="str">
        <f>IF(A146="","",ROW()-2-LOOKUP(2,1/((Overview!$L$3:$L$62&lt;=ROW()-2)*(Overview!$M$3:$M$62&gt;=ROW()-2)),Overview!$L$3:$L$62)+1)</f>
        <v/>
      </c>
      <c r="E146" s="113" t="str">
        <f>IF(A146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6" s="113" t="str">
        <f>IF(A146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6" s="113" t="str">
        <f>IF(A146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6" s="113" t="str">
        <f>IF(A146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6" s="113" t="str">
        <f>IF(A146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6" s="113" t="str">
        <f>IF(A146="","","image"&amp;D146&amp;LOOKUP(2,1/((Overview!$L$3:$L$62&lt;=ROW()-2)*(Overview!$M$3:$M$62&gt;=ROW()-2)),Overview!$X$3:$X$62))</f>
        <v/>
      </c>
      <c r="K146" s="113" t="str">
        <f t="shared" si="10"/>
        <v/>
      </c>
      <c r="L146" s="111" t="str">
        <f>IF(U146="","",IF(V146=1,U146,IF(X146=1,W146,LEFT(W146,LEN(W146)-LEN(LOOKUP(2,1/((Overview!$L$3:$L$62&lt;=ROW()-2)*(Overview!$M$3:$M$62&gt;=ROW()-2)),Overview!$X$3:$X$62)))&amp;IF(COUNTIF($W$3:W146,W146)=1,"","__"&amp;COUNTIF($W$3:W146,W146))&amp;LOOKUP(2,1/((Overview!$L$3:$L$62&lt;=ROW()-2)*(Overview!$M$3:$M$62&gt;=ROW()-2)),Overview!$X$3:$X$62))))</f>
        <v/>
      </c>
      <c r="M146" s="5" t="str">
        <f>IF(A146="","",LOOKUP(2,1/((Overview!$L$3:$L$62&lt;=ROW()-2)*(Overview!$M$3:$M$62&gt;=ROW()-2)),Overview!$U$3:$U$62))</f>
        <v/>
      </c>
      <c r="N146" s="5" t="str">
        <f>IF(A146="","",LOOKUP(2,1/((Overview!$L$3:$L$62&lt;=ROW()-2)*(Overview!$M$3:$M$62&gt;=ROW()-2)),Overview!$V$3:$V$62))</f>
        <v/>
      </c>
      <c r="O146" s="5" t="str">
        <f>IF(A146="","",LOOKUP(2,1/((Overview!$L$3:$L$62&lt;=ROW()-2)*(Overview!$M$3:$M$62&gt;=ROW()-2)),Overview!$B$3:$B$62))</f>
        <v/>
      </c>
      <c r="P146" s="14" t="str">
        <f>IF(A146="","",LOOKUP(2,1/((Overview!$L$3:$L$62&lt;=ROW()-2)*(Overview!$M$3:$M$62&gt;=ROW()-2)),Overview!$S$3:$S$62))</f>
        <v/>
      </c>
      <c r="Q146" s="5" t="str">
        <f>IF(A146="","",LOOKUP(2,1/((Overview!$L$3:$L$62&lt;=ROW()-2)*(Overview!$M$3:$M$62&gt;=ROW()-2)),Overview!$C$3:$C$62))</f>
        <v/>
      </c>
      <c r="R146" s="22" t="str">
        <f>IF(E146="","",IF(AND(I146&lt;&gt;"",LOOKUP(2,1/((Overview!$L$3:$L$62&lt;=ROW()-2)*(Overview!$M$3:$M$62&gt;=ROW()-2)),Overview!$Z$3:$Z$62)&lt;&gt;""),LEFT(E146,LEN(E146)-LEN(I146))&amp;LOOKUP(2,1/((Overview!$L$3:$L$62&lt;=ROW()-2)*(Overview!$M$3:$M$62&gt;=ROW()-2)),Overview!$Z$3:$Z$62)&amp;" "&amp;I146,E146)&amp;IF(AND(Q146="",LOOKUP(2,1/((Overview!$L$3:$L$62&lt;=ROW()-2)*(Overview!$M$3:$M$62&gt;=ROW()-2)),Overview!$W$3:$W$62)=""),"",", "&amp;IF(Q146&lt;&gt;"",Q146,"")&amp;IF(AND(Q146&lt;&gt;"",LOOKUP(2,1/((Overview!$L$3:$L$62&lt;=ROW()-2)*(Overview!$M$3:$M$62&gt;=ROW()-2)),Overview!$W$3:$W$62)&lt;&gt;""),"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6" t="str">
        <f t="shared" si="11"/>
        <v/>
      </c>
      <c r="U146" s="10" t="str">
        <f>IF(A146="","",O146&amp;IF(LOOKUP(2,1/((Overview!$L$3:$L$62&lt;=ROW()-2)*(Overview!$M$3:$M$62&gt;=ROW()-2)),Overview!$T$3:$T$62)&lt;&gt;"","_"&amp;LOOKUP(2,1/((Overview!$L$3:$L$62&lt;=ROW()-2)*(Overview!$M$3:$M$62&gt;=ROW()-2)),Overview!$T$3:$T$62),"")&amp;IF(Q146&lt;&gt;"","_"&amp;Q146,"")&amp;IF(E146&lt;&gt;"","_"&amp;E146,"")&amp;LOOKUP(2,1/((Overview!$L$3:$L$62&lt;=ROW()-2)*(Overview!$M$3:$M$62&gt;=ROW()-2)),Overview!$X$3:$X$62))</f>
        <v/>
      </c>
      <c r="V146" t="str">
        <f t="shared" si="12"/>
        <v/>
      </c>
      <c r="W146" t="str">
        <f>IF(U146="","",O146&amp;IF(LOOKUP(2,1/((Overview!$L$3:$L$62&lt;=ROW()-2)*(Overview!$M$3:$M$62&gt;=ROW()-2)),Overview!$T$3:$T$62)&lt;&gt;"","_"&amp;LOOKUP(2,1/((Overview!$L$3:$L$62&lt;=ROW()-2)*(Overview!$M$3:$M$62&gt;=ROW()-2)),Overview!$T$3:$T$62),"")&amp;"_"&amp;IF(LEFT(LOWER(TRIM(F146)),3)="set",TRIM(F146),"Set"&amp;TRIM(F146))&amp;IF(Q146&lt;&gt;"","_"&amp;Q146,"")&amp;IF(E146&lt;&gt;"","_"&amp;E146,"")&amp;LOOKUP(2,1/((Overview!$L$3:$L$62&lt;=ROW()-2)*(Overview!$M$3:$M$62&gt;=ROW()-2)),Overview!$X$3:$X$62))</f>
        <v/>
      </c>
      <c r="X146" t="str">
        <f t="shared" si="13"/>
        <v/>
      </c>
    </row>
    <row r="147" spans="1:24" ht="13.9" thickBot="1">
      <c r="A147" s="5" t="str">
        <f>IF(ROW()-2&gt;SUMIFS(Overview!$K$3:$K$62,Overview!$N$3:$N$62,"OK"),"",LOOKUP(2,1/((Overview!$L$3:$L$62&lt;=ROW()-2)*(Overview!$M$3:$M$62&gt;=ROW()-2)),Overview!$R$3:$R$62))</f>
        <v/>
      </c>
      <c r="B147" s="5" t="str">
        <f>IF(A147="","",LOOKUP(2,1/((Overview!$L$3:$L$62&lt;=ROW()-2)*(Overview!$M$3:$M$62&gt;=ROW()-2)),Overview!$O$3:$O$62))</f>
        <v/>
      </c>
      <c r="C147" s="5" t="str">
        <f>IF(A147="","",LOOKUP(2,1/((Overview!$L$3:$L$62&lt;=ROW()-2)*(Overview!$M$3:$M$62&gt;=ROW()-2)),Overview!$Y$3:$Y$62))</f>
        <v/>
      </c>
      <c r="D147" s="113" t="str">
        <f>IF(A147="","",ROW()-2-LOOKUP(2,1/((Overview!$L$3:$L$62&lt;=ROW()-2)*(Overview!$M$3:$M$62&gt;=ROW()-2)),Overview!$L$3:$L$62)+1)</f>
        <v/>
      </c>
      <c r="E147" s="113" t="str">
        <f>IF(A147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7" s="113" t="str">
        <f>IF(A147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7" s="113" t="str">
        <f>IF(A147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7" s="113" t="str">
        <f>IF(A147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7" s="113" t="str">
        <f>IF(A147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7" s="113" t="str">
        <f>IF(A147="","","image"&amp;D147&amp;LOOKUP(2,1/((Overview!$L$3:$L$62&lt;=ROW()-2)*(Overview!$M$3:$M$62&gt;=ROW()-2)),Overview!$X$3:$X$62))</f>
        <v/>
      </c>
      <c r="K147" s="113" t="str">
        <f t="shared" si="10"/>
        <v/>
      </c>
      <c r="L147" s="111" t="str">
        <f>IF(U147="","",IF(V147=1,U147,IF(X147=1,W147,LEFT(W147,LEN(W147)-LEN(LOOKUP(2,1/((Overview!$L$3:$L$62&lt;=ROW()-2)*(Overview!$M$3:$M$62&gt;=ROW()-2)),Overview!$X$3:$X$62)))&amp;IF(COUNTIF($W$3:W147,W147)=1,"","__"&amp;COUNTIF($W$3:W147,W147))&amp;LOOKUP(2,1/((Overview!$L$3:$L$62&lt;=ROW()-2)*(Overview!$M$3:$M$62&gt;=ROW()-2)),Overview!$X$3:$X$62))))</f>
        <v/>
      </c>
      <c r="M147" s="5" t="str">
        <f>IF(A147="","",LOOKUP(2,1/((Overview!$L$3:$L$62&lt;=ROW()-2)*(Overview!$M$3:$M$62&gt;=ROW()-2)),Overview!$U$3:$U$62))</f>
        <v/>
      </c>
      <c r="N147" s="5" t="str">
        <f>IF(A147="","",LOOKUP(2,1/((Overview!$L$3:$L$62&lt;=ROW()-2)*(Overview!$M$3:$M$62&gt;=ROW()-2)),Overview!$V$3:$V$62))</f>
        <v/>
      </c>
      <c r="O147" s="5" t="str">
        <f>IF(A147="","",LOOKUP(2,1/((Overview!$L$3:$L$62&lt;=ROW()-2)*(Overview!$M$3:$M$62&gt;=ROW()-2)),Overview!$B$3:$B$62))</f>
        <v/>
      </c>
      <c r="P147" s="14" t="str">
        <f>IF(A147="","",LOOKUP(2,1/((Overview!$L$3:$L$62&lt;=ROW()-2)*(Overview!$M$3:$M$62&gt;=ROW()-2)),Overview!$S$3:$S$62))</f>
        <v/>
      </c>
      <c r="Q147" s="5" t="str">
        <f>IF(A147="","",LOOKUP(2,1/((Overview!$L$3:$L$62&lt;=ROW()-2)*(Overview!$M$3:$M$62&gt;=ROW()-2)),Overview!$C$3:$C$62))</f>
        <v/>
      </c>
      <c r="R147" s="22" t="str">
        <f>IF(E147="","",IF(AND(I147&lt;&gt;"",LOOKUP(2,1/((Overview!$L$3:$L$62&lt;=ROW()-2)*(Overview!$M$3:$M$62&gt;=ROW()-2)),Overview!$Z$3:$Z$62)&lt;&gt;""),LEFT(E147,LEN(E147)-LEN(I147))&amp;LOOKUP(2,1/((Overview!$L$3:$L$62&lt;=ROW()-2)*(Overview!$M$3:$M$62&gt;=ROW()-2)),Overview!$Z$3:$Z$62)&amp;" "&amp;I147,E147)&amp;IF(AND(Q147="",LOOKUP(2,1/((Overview!$L$3:$L$62&lt;=ROW()-2)*(Overview!$M$3:$M$62&gt;=ROW()-2)),Overview!$W$3:$W$62)=""),"",", "&amp;IF(Q147&lt;&gt;"",Q147,"")&amp;IF(AND(Q147&lt;&gt;"",LOOKUP(2,1/((Overview!$L$3:$L$62&lt;=ROW()-2)*(Overview!$M$3:$M$62&gt;=ROW()-2)),Overview!$W$3:$W$62)&lt;&gt;""),"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7" t="str">
        <f t="shared" si="11"/>
        <v/>
      </c>
      <c r="U147" s="10" t="str">
        <f>IF(A147="","",O147&amp;IF(LOOKUP(2,1/((Overview!$L$3:$L$62&lt;=ROW()-2)*(Overview!$M$3:$M$62&gt;=ROW()-2)),Overview!$T$3:$T$62)&lt;&gt;"","_"&amp;LOOKUP(2,1/((Overview!$L$3:$L$62&lt;=ROW()-2)*(Overview!$M$3:$M$62&gt;=ROW()-2)),Overview!$T$3:$T$62),"")&amp;IF(Q147&lt;&gt;"","_"&amp;Q147,"")&amp;IF(E147&lt;&gt;"","_"&amp;E147,"")&amp;LOOKUP(2,1/((Overview!$L$3:$L$62&lt;=ROW()-2)*(Overview!$M$3:$M$62&gt;=ROW()-2)),Overview!$X$3:$X$62))</f>
        <v/>
      </c>
      <c r="V147" t="str">
        <f t="shared" si="12"/>
        <v/>
      </c>
      <c r="W147" t="str">
        <f>IF(U147="","",O147&amp;IF(LOOKUP(2,1/((Overview!$L$3:$L$62&lt;=ROW()-2)*(Overview!$M$3:$M$62&gt;=ROW()-2)),Overview!$T$3:$T$62)&lt;&gt;"","_"&amp;LOOKUP(2,1/((Overview!$L$3:$L$62&lt;=ROW()-2)*(Overview!$M$3:$M$62&gt;=ROW()-2)),Overview!$T$3:$T$62),"")&amp;"_"&amp;IF(LEFT(LOWER(TRIM(F147)),3)="set",TRIM(F147),"Set"&amp;TRIM(F147))&amp;IF(Q147&lt;&gt;"","_"&amp;Q147,"")&amp;IF(E147&lt;&gt;"","_"&amp;E147,"")&amp;LOOKUP(2,1/((Overview!$L$3:$L$62&lt;=ROW()-2)*(Overview!$M$3:$M$62&gt;=ROW()-2)),Overview!$X$3:$X$62))</f>
        <v/>
      </c>
      <c r="X147" t="str">
        <f t="shared" si="13"/>
        <v/>
      </c>
    </row>
    <row r="148" spans="1:24" ht="13.9" thickBot="1">
      <c r="A148" s="5" t="str">
        <f>IF(ROW()-2&gt;SUMIFS(Overview!$K$3:$K$62,Overview!$N$3:$N$62,"OK"),"",LOOKUP(2,1/((Overview!$L$3:$L$62&lt;=ROW()-2)*(Overview!$M$3:$M$62&gt;=ROW()-2)),Overview!$R$3:$R$62))</f>
        <v/>
      </c>
      <c r="B148" s="5" t="str">
        <f>IF(A148="","",LOOKUP(2,1/((Overview!$L$3:$L$62&lt;=ROW()-2)*(Overview!$M$3:$M$62&gt;=ROW()-2)),Overview!$O$3:$O$62))</f>
        <v/>
      </c>
      <c r="C148" s="5" t="str">
        <f>IF(A148="","",LOOKUP(2,1/((Overview!$L$3:$L$62&lt;=ROW()-2)*(Overview!$M$3:$M$62&gt;=ROW()-2)),Overview!$Y$3:$Y$62))</f>
        <v/>
      </c>
      <c r="D148" s="113" t="str">
        <f>IF(A148="","",ROW()-2-LOOKUP(2,1/((Overview!$L$3:$L$62&lt;=ROW()-2)*(Overview!$M$3:$M$62&gt;=ROW()-2)),Overview!$L$3:$L$62)+1)</f>
        <v/>
      </c>
      <c r="E148" s="113" t="str">
        <f>IF(A148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8" s="113" t="str">
        <f>IF(A148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8" s="113" t="str">
        <f>IF(A148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8" s="113" t="str">
        <f>IF(A148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8" s="113" t="str">
        <f>IF(A148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8" s="113" t="str">
        <f>IF(A148="","","image"&amp;D148&amp;LOOKUP(2,1/((Overview!$L$3:$L$62&lt;=ROW()-2)*(Overview!$M$3:$M$62&gt;=ROW()-2)),Overview!$X$3:$X$62))</f>
        <v/>
      </c>
      <c r="K148" s="113" t="str">
        <f t="shared" si="10"/>
        <v/>
      </c>
      <c r="L148" s="111" t="str">
        <f>IF(U148="","",IF(V148=1,U148,IF(X148=1,W148,LEFT(W148,LEN(W148)-LEN(LOOKUP(2,1/((Overview!$L$3:$L$62&lt;=ROW()-2)*(Overview!$M$3:$M$62&gt;=ROW()-2)),Overview!$X$3:$X$62)))&amp;IF(COUNTIF($W$3:W148,W148)=1,"","__"&amp;COUNTIF($W$3:W148,W148))&amp;LOOKUP(2,1/((Overview!$L$3:$L$62&lt;=ROW()-2)*(Overview!$M$3:$M$62&gt;=ROW()-2)),Overview!$X$3:$X$62))))</f>
        <v/>
      </c>
      <c r="M148" s="5" t="str">
        <f>IF(A148="","",LOOKUP(2,1/((Overview!$L$3:$L$62&lt;=ROW()-2)*(Overview!$M$3:$M$62&gt;=ROW()-2)),Overview!$U$3:$U$62))</f>
        <v/>
      </c>
      <c r="N148" s="5" t="str">
        <f>IF(A148="","",LOOKUP(2,1/((Overview!$L$3:$L$62&lt;=ROW()-2)*(Overview!$M$3:$M$62&gt;=ROW()-2)),Overview!$V$3:$V$62))</f>
        <v/>
      </c>
      <c r="O148" s="5" t="str">
        <f>IF(A148="","",LOOKUP(2,1/((Overview!$L$3:$L$62&lt;=ROW()-2)*(Overview!$M$3:$M$62&gt;=ROW()-2)),Overview!$B$3:$B$62))</f>
        <v/>
      </c>
      <c r="P148" s="14" t="str">
        <f>IF(A148="","",LOOKUP(2,1/((Overview!$L$3:$L$62&lt;=ROW()-2)*(Overview!$M$3:$M$62&gt;=ROW()-2)),Overview!$S$3:$S$62))</f>
        <v/>
      </c>
      <c r="Q148" s="5" t="str">
        <f>IF(A148="","",LOOKUP(2,1/((Overview!$L$3:$L$62&lt;=ROW()-2)*(Overview!$M$3:$M$62&gt;=ROW()-2)),Overview!$C$3:$C$62))</f>
        <v/>
      </c>
      <c r="R148" s="22" t="str">
        <f>IF(E148="","",IF(AND(I148&lt;&gt;"",LOOKUP(2,1/((Overview!$L$3:$L$62&lt;=ROW()-2)*(Overview!$M$3:$M$62&gt;=ROW()-2)),Overview!$Z$3:$Z$62)&lt;&gt;""),LEFT(E148,LEN(E148)-LEN(I148))&amp;LOOKUP(2,1/((Overview!$L$3:$L$62&lt;=ROW()-2)*(Overview!$M$3:$M$62&gt;=ROW()-2)),Overview!$Z$3:$Z$62)&amp;" "&amp;I148,E148)&amp;IF(AND(Q148="",LOOKUP(2,1/((Overview!$L$3:$L$62&lt;=ROW()-2)*(Overview!$M$3:$M$62&gt;=ROW()-2)),Overview!$W$3:$W$62)=""),"",", "&amp;IF(Q148&lt;&gt;"",Q148,"")&amp;IF(AND(Q148&lt;&gt;"",LOOKUP(2,1/((Overview!$L$3:$L$62&lt;=ROW()-2)*(Overview!$M$3:$M$62&gt;=ROW()-2)),Overview!$W$3:$W$62)&lt;&gt;""),"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8" t="str">
        <f t="shared" si="11"/>
        <v/>
      </c>
      <c r="U148" s="10" t="str">
        <f>IF(A148="","",O148&amp;IF(LOOKUP(2,1/((Overview!$L$3:$L$62&lt;=ROW()-2)*(Overview!$M$3:$M$62&gt;=ROW()-2)),Overview!$T$3:$T$62)&lt;&gt;"","_"&amp;LOOKUP(2,1/((Overview!$L$3:$L$62&lt;=ROW()-2)*(Overview!$M$3:$M$62&gt;=ROW()-2)),Overview!$T$3:$T$62),"")&amp;IF(Q148&lt;&gt;"","_"&amp;Q148,"")&amp;IF(E148&lt;&gt;"","_"&amp;E148,"")&amp;LOOKUP(2,1/((Overview!$L$3:$L$62&lt;=ROW()-2)*(Overview!$M$3:$M$62&gt;=ROW()-2)),Overview!$X$3:$X$62))</f>
        <v/>
      </c>
      <c r="V148" t="str">
        <f t="shared" si="12"/>
        <v/>
      </c>
      <c r="W148" t="str">
        <f>IF(U148="","",O148&amp;IF(LOOKUP(2,1/((Overview!$L$3:$L$62&lt;=ROW()-2)*(Overview!$M$3:$M$62&gt;=ROW()-2)),Overview!$T$3:$T$62)&lt;&gt;"","_"&amp;LOOKUP(2,1/((Overview!$L$3:$L$62&lt;=ROW()-2)*(Overview!$M$3:$M$62&gt;=ROW()-2)),Overview!$T$3:$T$62),"")&amp;"_"&amp;IF(LEFT(LOWER(TRIM(F148)),3)="set",TRIM(F148),"Set"&amp;TRIM(F148))&amp;IF(Q148&lt;&gt;"","_"&amp;Q148,"")&amp;IF(E148&lt;&gt;"","_"&amp;E148,"")&amp;LOOKUP(2,1/((Overview!$L$3:$L$62&lt;=ROW()-2)*(Overview!$M$3:$M$62&gt;=ROW()-2)),Overview!$X$3:$X$62))</f>
        <v/>
      </c>
      <c r="X148" t="str">
        <f t="shared" si="13"/>
        <v/>
      </c>
    </row>
    <row r="149" spans="1:24" ht="13.9" thickBot="1">
      <c r="A149" s="5" t="str">
        <f>IF(ROW()-2&gt;SUMIFS(Overview!$K$3:$K$62,Overview!$N$3:$N$62,"OK"),"",LOOKUP(2,1/((Overview!$L$3:$L$62&lt;=ROW()-2)*(Overview!$M$3:$M$62&gt;=ROW()-2)),Overview!$R$3:$R$62))</f>
        <v/>
      </c>
      <c r="B149" s="5" t="str">
        <f>IF(A149="","",LOOKUP(2,1/((Overview!$L$3:$L$62&lt;=ROW()-2)*(Overview!$M$3:$M$62&gt;=ROW()-2)),Overview!$O$3:$O$62))</f>
        <v/>
      </c>
      <c r="C149" s="5" t="str">
        <f>IF(A149="","",LOOKUP(2,1/((Overview!$L$3:$L$62&lt;=ROW()-2)*(Overview!$M$3:$M$62&gt;=ROW()-2)),Overview!$Y$3:$Y$62))</f>
        <v/>
      </c>
      <c r="D149" s="113" t="str">
        <f>IF(A149="","",ROW()-2-LOOKUP(2,1/((Overview!$L$3:$L$62&lt;=ROW()-2)*(Overview!$M$3:$M$62&gt;=ROW()-2)),Overview!$L$3:$L$62)+1)</f>
        <v/>
      </c>
      <c r="E149" s="113" t="str">
        <f>IF(A149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49" s="113" t="str">
        <f>IF(A149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49" s="113" t="str">
        <f>IF(A149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49" s="113" t="str">
        <f>IF(A149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49" s="113" t="str">
        <f>IF(A149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49" s="113" t="str">
        <f>IF(A149="","","image"&amp;D149&amp;LOOKUP(2,1/((Overview!$L$3:$L$62&lt;=ROW()-2)*(Overview!$M$3:$M$62&gt;=ROW()-2)),Overview!$X$3:$X$62))</f>
        <v/>
      </c>
      <c r="K149" s="113" t="str">
        <f t="shared" si="10"/>
        <v/>
      </c>
      <c r="L149" s="111" t="str">
        <f>IF(U149="","",IF(V149=1,U149,IF(X149=1,W149,LEFT(W149,LEN(W149)-LEN(LOOKUP(2,1/((Overview!$L$3:$L$62&lt;=ROW()-2)*(Overview!$M$3:$M$62&gt;=ROW()-2)),Overview!$X$3:$X$62)))&amp;IF(COUNTIF($W$3:W149,W149)=1,"","__"&amp;COUNTIF($W$3:W149,W149))&amp;LOOKUP(2,1/((Overview!$L$3:$L$62&lt;=ROW()-2)*(Overview!$M$3:$M$62&gt;=ROW()-2)),Overview!$X$3:$X$62))))</f>
        <v/>
      </c>
      <c r="M149" s="5" t="str">
        <f>IF(A149="","",LOOKUP(2,1/((Overview!$L$3:$L$62&lt;=ROW()-2)*(Overview!$M$3:$M$62&gt;=ROW()-2)),Overview!$U$3:$U$62))</f>
        <v/>
      </c>
      <c r="N149" s="5" t="str">
        <f>IF(A149="","",LOOKUP(2,1/((Overview!$L$3:$L$62&lt;=ROW()-2)*(Overview!$M$3:$M$62&gt;=ROW()-2)),Overview!$V$3:$V$62))</f>
        <v/>
      </c>
      <c r="O149" s="5" t="str">
        <f>IF(A149="","",LOOKUP(2,1/((Overview!$L$3:$L$62&lt;=ROW()-2)*(Overview!$M$3:$M$62&gt;=ROW()-2)),Overview!$B$3:$B$62))</f>
        <v/>
      </c>
      <c r="P149" s="14" t="str">
        <f>IF(A149="","",LOOKUP(2,1/((Overview!$L$3:$L$62&lt;=ROW()-2)*(Overview!$M$3:$M$62&gt;=ROW()-2)),Overview!$S$3:$S$62))</f>
        <v/>
      </c>
      <c r="Q149" s="5" t="str">
        <f>IF(A149="","",LOOKUP(2,1/((Overview!$L$3:$L$62&lt;=ROW()-2)*(Overview!$M$3:$M$62&gt;=ROW()-2)),Overview!$C$3:$C$62))</f>
        <v/>
      </c>
      <c r="R149" s="22" t="str">
        <f>IF(E149="","",IF(AND(I149&lt;&gt;"",LOOKUP(2,1/((Overview!$L$3:$L$62&lt;=ROW()-2)*(Overview!$M$3:$M$62&gt;=ROW()-2)),Overview!$Z$3:$Z$62)&lt;&gt;""),LEFT(E149,LEN(E149)-LEN(I149))&amp;LOOKUP(2,1/((Overview!$L$3:$L$62&lt;=ROW()-2)*(Overview!$M$3:$M$62&gt;=ROW()-2)),Overview!$Z$3:$Z$62)&amp;" "&amp;I149,E149)&amp;IF(AND(Q149="",LOOKUP(2,1/((Overview!$L$3:$L$62&lt;=ROW()-2)*(Overview!$M$3:$M$62&gt;=ROW()-2)),Overview!$W$3:$W$62)=""),"",", "&amp;IF(Q149&lt;&gt;"",Q149,"")&amp;IF(AND(Q149&lt;&gt;"",LOOKUP(2,1/((Overview!$L$3:$L$62&lt;=ROW()-2)*(Overview!$M$3:$M$62&gt;=ROW()-2)),Overview!$W$3:$W$62)&lt;&gt;""),"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49" t="str">
        <f t="shared" si="11"/>
        <v/>
      </c>
      <c r="U149" s="10" t="str">
        <f>IF(A149="","",O149&amp;IF(LOOKUP(2,1/((Overview!$L$3:$L$62&lt;=ROW()-2)*(Overview!$M$3:$M$62&gt;=ROW()-2)),Overview!$T$3:$T$62)&lt;&gt;"","_"&amp;LOOKUP(2,1/((Overview!$L$3:$L$62&lt;=ROW()-2)*(Overview!$M$3:$M$62&gt;=ROW()-2)),Overview!$T$3:$T$62),"")&amp;IF(Q149&lt;&gt;"","_"&amp;Q149,"")&amp;IF(E149&lt;&gt;"","_"&amp;E149,"")&amp;LOOKUP(2,1/((Overview!$L$3:$L$62&lt;=ROW()-2)*(Overview!$M$3:$M$62&gt;=ROW()-2)),Overview!$X$3:$X$62))</f>
        <v/>
      </c>
      <c r="V149" t="str">
        <f t="shared" si="12"/>
        <v/>
      </c>
      <c r="W149" t="str">
        <f>IF(U149="","",O149&amp;IF(LOOKUP(2,1/((Overview!$L$3:$L$62&lt;=ROW()-2)*(Overview!$M$3:$M$62&gt;=ROW()-2)),Overview!$T$3:$T$62)&lt;&gt;"","_"&amp;LOOKUP(2,1/((Overview!$L$3:$L$62&lt;=ROW()-2)*(Overview!$M$3:$M$62&gt;=ROW()-2)),Overview!$T$3:$T$62),"")&amp;"_"&amp;IF(LEFT(LOWER(TRIM(F149)),3)="set",TRIM(F149),"Set"&amp;TRIM(F149))&amp;IF(Q149&lt;&gt;"","_"&amp;Q149,"")&amp;IF(E149&lt;&gt;"","_"&amp;E149,"")&amp;LOOKUP(2,1/((Overview!$L$3:$L$62&lt;=ROW()-2)*(Overview!$M$3:$M$62&gt;=ROW()-2)),Overview!$X$3:$X$62))</f>
        <v/>
      </c>
      <c r="X149" t="str">
        <f t="shared" si="13"/>
        <v/>
      </c>
    </row>
    <row r="150" spans="1:24" ht="13.9" thickBot="1">
      <c r="A150" s="5" t="str">
        <f>IF(ROW()-2&gt;SUMIFS(Overview!$K$3:$K$62,Overview!$N$3:$N$62,"OK"),"",LOOKUP(2,1/((Overview!$L$3:$L$62&lt;=ROW()-2)*(Overview!$M$3:$M$62&gt;=ROW()-2)),Overview!$R$3:$R$62))</f>
        <v/>
      </c>
      <c r="B150" s="5" t="str">
        <f>IF(A150="","",LOOKUP(2,1/((Overview!$L$3:$L$62&lt;=ROW()-2)*(Overview!$M$3:$M$62&gt;=ROW()-2)),Overview!$O$3:$O$62))</f>
        <v/>
      </c>
      <c r="C150" s="5" t="str">
        <f>IF(A150="","",LOOKUP(2,1/((Overview!$L$3:$L$62&lt;=ROW()-2)*(Overview!$M$3:$M$62&gt;=ROW()-2)),Overview!$Y$3:$Y$62))</f>
        <v/>
      </c>
      <c r="D150" s="113" t="str">
        <f>IF(A150="","",ROW()-2-LOOKUP(2,1/((Overview!$L$3:$L$62&lt;=ROW()-2)*(Overview!$M$3:$M$62&gt;=ROW()-2)),Overview!$L$3:$L$62)+1)</f>
        <v/>
      </c>
      <c r="E150" s="113" t="str">
        <f>IF(A150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50" s="113" t="str">
        <f>IF(A150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50" s="113" t="str">
        <f>IF(A150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50" s="113" t="str">
        <f>IF(A150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50" s="113" t="str">
        <f>IF(A150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50" s="113" t="str">
        <f>IF(A150="","","image"&amp;D150&amp;LOOKUP(2,1/((Overview!$L$3:$L$62&lt;=ROW()-2)*(Overview!$M$3:$M$62&gt;=ROW()-2)),Overview!$X$3:$X$62))</f>
        <v/>
      </c>
      <c r="K150" s="113" t="str">
        <f t="shared" si="10"/>
        <v/>
      </c>
      <c r="L150" s="111" t="str">
        <f>IF(U150="","",IF(V150=1,U150,IF(X150=1,W150,LEFT(W150,LEN(W150)-LEN(LOOKUP(2,1/((Overview!$L$3:$L$62&lt;=ROW()-2)*(Overview!$M$3:$M$62&gt;=ROW()-2)),Overview!$X$3:$X$62)))&amp;IF(COUNTIF($W$3:W150,W150)=1,"","__"&amp;COUNTIF($W$3:W150,W150))&amp;LOOKUP(2,1/((Overview!$L$3:$L$62&lt;=ROW()-2)*(Overview!$M$3:$M$62&gt;=ROW()-2)),Overview!$X$3:$X$62))))</f>
        <v/>
      </c>
      <c r="M150" s="5" t="str">
        <f>IF(A150="","",LOOKUP(2,1/((Overview!$L$3:$L$62&lt;=ROW()-2)*(Overview!$M$3:$M$62&gt;=ROW()-2)),Overview!$U$3:$U$62))</f>
        <v/>
      </c>
      <c r="N150" s="5" t="str">
        <f>IF(A150="","",LOOKUP(2,1/((Overview!$L$3:$L$62&lt;=ROW()-2)*(Overview!$M$3:$M$62&gt;=ROW()-2)),Overview!$V$3:$V$62))</f>
        <v/>
      </c>
      <c r="O150" s="5" t="str">
        <f>IF(A150="","",LOOKUP(2,1/((Overview!$L$3:$L$62&lt;=ROW()-2)*(Overview!$M$3:$M$62&gt;=ROW()-2)),Overview!$B$3:$B$62))</f>
        <v/>
      </c>
      <c r="P150" s="14" t="str">
        <f>IF(A150="","",LOOKUP(2,1/((Overview!$L$3:$L$62&lt;=ROW()-2)*(Overview!$M$3:$M$62&gt;=ROW()-2)),Overview!$S$3:$S$62))</f>
        <v/>
      </c>
      <c r="Q150" s="5" t="str">
        <f>IF(A150="","",LOOKUP(2,1/((Overview!$L$3:$L$62&lt;=ROW()-2)*(Overview!$M$3:$M$62&gt;=ROW()-2)),Overview!$C$3:$C$62))</f>
        <v/>
      </c>
      <c r="R150" s="22" t="str">
        <f>IF(E150="","",IF(AND(I150&lt;&gt;"",LOOKUP(2,1/((Overview!$L$3:$L$62&lt;=ROW()-2)*(Overview!$M$3:$M$62&gt;=ROW()-2)),Overview!$Z$3:$Z$62)&lt;&gt;""),LEFT(E150,LEN(E150)-LEN(I150))&amp;LOOKUP(2,1/((Overview!$L$3:$L$62&lt;=ROW()-2)*(Overview!$M$3:$M$62&gt;=ROW()-2)),Overview!$Z$3:$Z$62)&amp;" "&amp;I150,E150)&amp;IF(AND(Q150="",LOOKUP(2,1/((Overview!$L$3:$L$62&lt;=ROW()-2)*(Overview!$M$3:$M$62&gt;=ROW()-2)),Overview!$W$3:$W$62)=""),"",", "&amp;IF(Q150&lt;&gt;"",Q150,"")&amp;IF(AND(Q150&lt;&gt;"",LOOKUP(2,1/((Overview!$L$3:$L$62&lt;=ROW()-2)*(Overview!$M$3:$M$62&gt;=ROW()-2)),Overview!$W$3:$W$62)&lt;&gt;""),"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50" t="str">
        <f t="shared" si="11"/>
        <v/>
      </c>
      <c r="U150" s="10" t="str">
        <f>IF(A150="","",O150&amp;IF(LOOKUP(2,1/((Overview!$L$3:$L$62&lt;=ROW()-2)*(Overview!$M$3:$M$62&gt;=ROW()-2)),Overview!$T$3:$T$62)&lt;&gt;"","_"&amp;LOOKUP(2,1/((Overview!$L$3:$L$62&lt;=ROW()-2)*(Overview!$M$3:$M$62&gt;=ROW()-2)),Overview!$T$3:$T$62),"")&amp;IF(Q150&lt;&gt;"","_"&amp;Q150,"")&amp;IF(E150&lt;&gt;"","_"&amp;E150,"")&amp;LOOKUP(2,1/((Overview!$L$3:$L$62&lt;=ROW()-2)*(Overview!$M$3:$M$62&gt;=ROW()-2)),Overview!$X$3:$X$62))</f>
        <v/>
      </c>
      <c r="V150" t="str">
        <f t="shared" si="12"/>
        <v/>
      </c>
      <c r="W150" t="str">
        <f>IF(U150="","",O150&amp;IF(LOOKUP(2,1/((Overview!$L$3:$L$62&lt;=ROW()-2)*(Overview!$M$3:$M$62&gt;=ROW()-2)),Overview!$T$3:$T$62)&lt;&gt;"","_"&amp;LOOKUP(2,1/((Overview!$L$3:$L$62&lt;=ROW()-2)*(Overview!$M$3:$M$62&gt;=ROW()-2)),Overview!$T$3:$T$62),"")&amp;"_"&amp;IF(LEFT(LOWER(TRIM(F150)),3)="set",TRIM(F150),"Set"&amp;TRIM(F150))&amp;IF(Q150&lt;&gt;"","_"&amp;Q150,"")&amp;IF(E150&lt;&gt;"","_"&amp;E150,"")&amp;LOOKUP(2,1/((Overview!$L$3:$L$62&lt;=ROW()-2)*(Overview!$M$3:$M$62&gt;=ROW()-2)),Overview!$X$3:$X$62))</f>
        <v/>
      </c>
      <c r="X150" t="str">
        <f t="shared" si="13"/>
        <v/>
      </c>
    </row>
    <row r="151" spans="1:24" ht="13.9" thickBot="1">
      <c r="A151" s="5" t="str">
        <f>IF(ROW()-2&gt;SUMIFS(Overview!$K$3:$K$62,Overview!$N$3:$N$62,"OK"),"",LOOKUP(2,1/((Overview!$L$3:$L$62&lt;=ROW()-2)*(Overview!$M$3:$M$62&gt;=ROW()-2)),Overview!$R$3:$R$62))</f>
        <v/>
      </c>
      <c r="B151" s="5" t="str">
        <f>IF(A151="","",LOOKUP(2,1/((Overview!$L$3:$L$62&lt;=ROW()-2)*(Overview!$M$3:$M$62&gt;=ROW()-2)),Overview!$O$3:$O$62))</f>
        <v/>
      </c>
      <c r="C151" s="5" t="str">
        <f>IF(A151="","",LOOKUP(2,1/((Overview!$L$3:$L$62&lt;=ROW()-2)*(Overview!$M$3:$M$62&gt;=ROW()-2)),Overview!$Y$3:$Y$62))</f>
        <v/>
      </c>
      <c r="D151" s="113" t="str">
        <f>IF(A151="","",ROW()-2-LOOKUP(2,1/((Overview!$L$3:$L$62&lt;=ROW()-2)*(Overview!$M$3:$M$62&gt;=ROW()-2)),Overview!$L$3:$L$62)+1)</f>
        <v/>
      </c>
      <c r="E151" s="113" t="str">
        <f>IF(A151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51" s="113" t="str">
        <f>IF(A151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51" s="113" t="str">
        <f>IF(A151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51" s="113" t="str">
        <f>IF(A151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51" s="113" t="str">
        <f>IF(A151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51" s="113" t="str">
        <f>IF(A151="","","image"&amp;D151&amp;LOOKUP(2,1/((Overview!$L$3:$L$62&lt;=ROW()-2)*(Overview!$M$3:$M$62&gt;=ROW()-2)),Overview!$X$3:$X$62))</f>
        <v/>
      </c>
      <c r="K151" s="113" t="str">
        <f t="shared" si="10"/>
        <v/>
      </c>
      <c r="L151" s="111" t="str">
        <f>IF(U151="","",IF(V151=1,U151,IF(X151=1,W151,LEFT(W151,LEN(W151)-LEN(LOOKUP(2,1/((Overview!$L$3:$L$62&lt;=ROW()-2)*(Overview!$M$3:$M$62&gt;=ROW()-2)),Overview!$X$3:$X$62)))&amp;IF(COUNTIF($W$3:W151,W151)=1,"","__"&amp;COUNTIF($W$3:W151,W151))&amp;LOOKUP(2,1/((Overview!$L$3:$L$62&lt;=ROW()-2)*(Overview!$M$3:$M$62&gt;=ROW()-2)),Overview!$X$3:$X$62))))</f>
        <v/>
      </c>
      <c r="M151" s="5" t="str">
        <f>IF(A151="","",LOOKUP(2,1/((Overview!$L$3:$L$62&lt;=ROW()-2)*(Overview!$M$3:$M$62&gt;=ROW()-2)),Overview!$U$3:$U$62))</f>
        <v/>
      </c>
      <c r="N151" s="5" t="str">
        <f>IF(A151="","",LOOKUP(2,1/((Overview!$L$3:$L$62&lt;=ROW()-2)*(Overview!$M$3:$M$62&gt;=ROW()-2)),Overview!$V$3:$V$62))</f>
        <v/>
      </c>
      <c r="O151" s="5" t="str">
        <f>IF(A151="","",LOOKUP(2,1/((Overview!$L$3:$L$62&lt;=ROW()-2)*(Overview!$M$3:$M$62&gt;=ROW()-2)),Overview!$B$3:$B$62))</f>
        <v/>
      </c>
      <c r="P151" s="14" t="str">
        <f>IF(A151="","",LOOKUP(2,1/((Overview!$L$3:$L$62&lt;=ROW()-2)*(Overview!$M$3:$M$62&gt;=ROW()-2)),Overview!$S$3:$S$62))</f>
        <v/>
      </c>
      <c r="Q151" s="5" t="str">
        <f>IF(A151="","",LOOKUP(2,1/((Overview!$L$3:$L$62&lt;=ROW()-2)*(Overview!$M$3:$M$62&gt;=ROW()-2)),Overview!$C$3:$C$62))</f>
        <v/>
      </c>
      <c r="R151" s="22" t="str">
        <f>IF(E151="","",IF(AND(I151&lt;&gt;"",LOOKUP(2,1/((Overview!$L$3:$L$62&lt;=ROW()-2)*(Overview!$M$3:$M$62&gt;=ROW()-2)),Overview!$Z$3:$Z$62)&lt;&gt;""),LEFT(E151,LEN(E151)-LEN(I151))&amp;LOOKUP(2,1/((Overview!$L$3:$L$62&lt;=ROW()-2)*(Overview!$M$3:$M$62&gt;=ROW()-2)),Overview!$Z$3:$Z$62)&amp;" "&amp;I151,E151)&amp;IF(AND(Q151="",LOOKUP(2,1/((Overview!$L$3:$L$62&lt;=ROW()-2)*(Overview!$M$3:$M$62&gt;=ROW()-2)),Overview!$W$3:$W$62)=""),"",", "&amp;IF(Q151&lt;&gt;"",Q151,"")&amp;IF(AND(Q151&lt;&gt;"",LOOKUP(2,1/((Overview!$L$3:$L$62&lt;=ROW()-2)*(Overview!$M$3:$M$62&gt;=ROW()-2)),Overview!$W$3:$W$62)&lt;&gt;""),"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51" t="str">
        <f t="shared" si="11"/>
        <v/>
      </c>
      <c r="U151" s="10" t="str">
        <f>IF(A151="","",O151&amp;IF(LOOKUP(2,1/((Overview!$L$3:$L$62&lt;=ROW()-2)*(Overview!$M$3:$M$62&gt;=ROW()-2)),Overview!$T$3:$T$62)&lt;&gt;"","_"&amp;LOOKUP(2,1/((Overview!$L$3:$L$62&lt;=ROW()-2)*(Overview!$M$3:$M$62&gt;=ROW()-2)),Overview!$T$3:$T$62),"")&amp;IF(Q151&lt;&gt;"","_"&amp;Q151,"")&amp;IF(E151&lt;&gt;"","_"&amp;E151,"")&amp;LOOKUP(2,1/((Overview!$L$3:$L$62&lt;=ROW()-2)*(Overview!$M$3:$M$62&gt;=ROW()-2)),Overview!$X$3:$X$62))</f>
        <v/>
      </c>
      <c r="V151" t="str">
        <f t="shared" si="12"/>
        <v/>
      </c>
      <c r="W151" t="str">
        <f>IF(U151="","",O151&amp;IF(LOOKUP(2,1/((Overview!$L$3:$L$62&lt;=ROW()-2)*(Overview!$M$3:$M$62&gt;=ROW()-2)),Overview!$T$3:$T$62)&lt;&gt;"","_"&amp;LOOKUP(2,1/((Overview!$L$3:$L$62&lt;=ROW()-2)*(Overview!$M$3:$M$62&gt;=ROW()-2)),Overview!$T$3:$T$62),"")&amp;"_"&amp;IF(LEFT(LOWER(TRIM(F151)),3)="set",TRIM(F151),"Set"&amp;TRIM(F151))&amp;IF(Q151&lt;&gt;"","_"&amp;Q151,"")&amp;IF(E151&lt;&gt;"","_"&amp;E151,"")&amp;LOOKUP(2,1/((Overview!$L$3:$L$62&lt;=ROW()-2)*(Overview!$M$3:$M$62&gt;=ROW()-2)),Overview!$X$3:$X$62))</f>
        <v/>
      </c>
      <c r="X151" t="str">
        <f t="shared" si="13"/>
        <v/>
      </c>
    </row>
    <row r="152" spans="1:24">
      <c r="A152" s="5" t="str">
        <f>IF(ROW()-2&gt;SUMIFS(Overview!$K$3:$K$62,Overview!$N$3:$N$62,"OK"),"",LOOKUP(2,1/((Overview!$L$3:$L$62&lt;=ROW()-2)*(Overview!$M$3:$M$62&gt;=ROW()-2)),Overview!$R$3:$R$62))</f>
        <v/>
      </c>
      <c r="B152" s="5" t="str">
        <f>IF(A152="","",LOOKUP(2,1/((Overview!$L$3:$L$62&lt;=ROW()-2)*(Overview!$M$3:$M$62&gt;=ROW()-2)),Overview!$O$3:$O$62))</f>
        <v/>
      </c>
      <c r="C152" s="5" t="str">
        <f>IF(A152="","",LOOKUP(2,1/((Overview!$L$3:$L$62&lt;=ROW()-2)*(Overview!$M$3:$M$62&gt;=ROW()-2)),Overview!$Y$3:$Y$62))</f>
        <v/>
      </c>
      <c r="D152" s="113" t="str">
        <f>IF(A152="","",ROW()-2-LOOKUP(2,1/((Overview!$L$3:$L$62&lt;=ROW()-2)*(Overview!$M$3:$M$62&gt;=ROW()-2)),Overview!$L$3:$L$62)+1)</f>
        <v/>
      </c>
      <c r="E152" s="113" t="str">
        <f>IF(A152="","",IFERROR(IF(INDEX(Arrangements!$D$3:$D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D$3:$D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F152" s="113" t="str">
        <f>IF(A152="","",IFERROR(IF(INDEX(Arrangements!$E$3:$E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E$3:$E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G152" s="113" t="str">
        <f>IF(A152="","",IFERROR(IF(INDEX(Arrangements!$F$3:$F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F$3:$F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H152" s="113" t="str">
        <f>IF(A152="","",IFERROR(IF(INDEX(Arrangements!$G$3:$G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G$3:$G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I152" s="113" t="str">
        <f>IF(A152="","",IFERROR(IF(INDEX(Arrangements!$H$3:$H$92,MATCH(LOOKUP(2,1/((Overview!$L$3:$L$62&lt;=ROW()-2)*(Overview!$M$3:$M$62&gt;=ROW()-2)),Overview!$U$3:$U$62),Arrangements!$M$3:$M$92,0)+ROW()-2-LOOKUP(2,1/((Overview!$L$3:$L$62&lt;=ROW()-2)*(Overview!$M$3:$M$62&gt;=ROW()-2)),Overview!$L$3:$L$62)+1-1)="","",INDEX(Arrangements!$H$3:$H$92,MATCH(LOOKUP(2,1/((Overview!$L$3:$L$62&lt;=ROW()-2)*(Overview!$M$3:$M$62&gt;=ROW()-2)),Overview!$U$3:$U$62),Arrangements!$M$3:$M$92,0)+ROW()-2-LOOKUP(2,1/((Overview!$L$3:$L$62&lt;=ROW()-2)*(Overview!$M$3:$M$62&gt;=ROW()-2)),Overview!$L$3:$L$62)+1-1)),""))</f>
        <v/>
      </c>
      <c r="J152" s="113" t="str">
        <f>IF(A152="","","image"&amp;D152&amp;LOOKUP(2,1/((Overview!$L$3:$L$62&lt;=ROW()-2)*(Overview!$M$3:$M$62&gt;=ROW()-2)),Overview!$X$3:$X$62))</f>
        <v/>
      </c>
      <c r="K152" s="113" t="str">
        <f t="shared" si="10"/>
        <v/>
      </c>
      <c r="L152" s="111" t="str">
        <f>IF(U152="","",IF(V152=1,U152,IF(X152=1,W152,LEFT(W152,LEN(W152)-LEN(LOOKUP(2,1/((Overview!$L$3:$L$62&lt;=ROW()-2)*(Overview!$M$3:$M$62&gt;=ROW()-2)),Overview!$X$3:$X$62)))&amp;IF(COUNTIF($W$3:W152,W152)=1,"","__"&amp;COUNTIF($W$3:W152,W152))&amp;LOOKUP(2,1/((Overview!$L$3:$L$62&lt;=ROW()-2)*(Overview!$M$3:$M$62&gt;=ROW()-2)),Overview!$X$3:$X$62))))</f>
        <v/>
      </c>
      <c r="M152" s="5" t="str">
        <f>IF(A152="","",LOOKUP(2,1/((Overview!$L$3:$L$62&lt;=ROW()-2)*(Overview!$M$3:$M$62&gt;=ROW()-2)),Overview!$U$3:$U$62))</f>
        <v/>
      </c>
      <c r="N152" s="5" t="str">
        <f>IF(A152="","",LOOKUP(2,1/((Overview!$L$3:$L$62&lt;=ROW()-2)*(Overview!$M$3:$M$62&gt;=ROW()-2)),Overview!$V$3:$V$62))</f>
        <v/>
      </c>
      <c r="O152" s="5" t="str">
        <f>IF(A152="","",LOOKUP(2,1/((Overview!$L$3:$L$62&lt;=ROW()-2)*(Overview!$M$3:$M$62&gt;=ROW()-2)),Overview!$B$3:$B$62))</f>
        <v/>
      </c>
      <c r="P152" s="14" t="str">
        <f>IF(A152="","",LOOKUP(2,1/((Overview!$L$3:$L$62&lt;=ROW()-2)*(Overview!$M$3:$M$62&gt;=ROW()-2)),Overview!$S$3:$S$62))</f>
        <v/>
      </c>
      <c r="Q152" s="5" t="str">
        <f>IF(A152="","",LOOKUP(2,1/((Overview!$L$3:$L$62&lt;=ROW()-2)*(Overview!$M$3:$M$62&gt;=ROW()-2)),Overview!$C$3:$C$62))</f>
        <v/>
      </c>
      <c r="R152" s="22" t="str">
        <f>IF(E152="","",IF(AND(I152&lt;&gt;"",LOOKUP(2,1/((Overview!$L$3:$L$62&lt;=ROW()-2)*(Overview!$M$3:$M$62&gt;=ROW()-2)),Overview!$Z$3:$Z$62)&lt;&gt;""),LEFT(E152,LEN(E152)-LEN(I152))&amp;LOOKUP(2,1/((Overview!$L$3:$L$62&lt;=ROW()-2)*(Overview!$M$3:$M$62&gt;=ROW()-2)),Overview!$Z$3:$Z$62)&amp;" "&amp;I152,E152)&amp;IF(AND(Q152="",LOOKUP(2,1/((Overview!$L$3:$L$62&lt;=ROW()-2)*(Overview!$M$3:$M$62&gt;=ROW()-2)),Overview!$W$3:$W$62)=""),"",", "&amp;IF(Q152&lt;&gt;"",Q152,"")&amp;IF(AND(Q152&lt;&gt;"",LOOKUP(2,1/((Overview!$L$3:$L$62&lt;=ROW()-2)*(Overview!$M$3:$M$62&gt;=ROW()-2)),Overview!$W$3:$W$62)&lt;&gt;"")," ","")&amp;LOOKUP(2,1/((Overview!$L$3:$L$62&lt;=ROW()-2)*(Overview!$M$3:$M$62&gt;=ROW()-2)),Overview!$W$3:$W$62)))</f>
        <v/>
      </c>
      <c r="S152" t="str">
        <f t="shared" si="11"/>
        <v/>
      </c>
      <c r="U152" s="10" t="str">
        <f>IF(A152="","",O152&amp;IF(LOOKUP(2,1/((Overview!$L$3:$L$62&lt;=ROW()-2)*(Overview!$M$3:$M$62&gt;=ROW()-2)),Overview!$T$3:$T$62)&lt;&gt;"","_"&amp;LOOKUP(2,1/((Overview!$L$3:$L$62&lt;=ROW()-2)*(Overview!$M$3:$M$62&gt;=ROW()-2)),Overview!$T$3:$T$62),"")&amp;IF(Q152&lt;&gt;"","_"&amp;Q152,"")&amp;IF(E152&lt;&gt;"","_"&amp;E152,"")&amp;LOOKUP(2,1/((Overview!$L$3:$L$62&lt;=ROW()-2)*(Overview!$M$3:$M$62&gt;=ROW()-2)),Overview!$X$3:$X$62))</f>
        <v/>
      </c>
      <c r="V152" t="str">
        <f t="shared" si="12"/>
        <v/>
      </c>
      <c r="W152" t="str">
        <f>IF(U152="","",O152&amp;IF(LOOKUP(2,1/((Overview!$L$3:$L$62&lt;=ROW()-2)*(Overview!$M$3:$M$62&gt;=ROW()-2)),Overview!$T$3:$T$62)&lt;&gt;"","_"&amp;LOOKUP(2,1/((Overview!$L$3:$L$62&lt;=ROW()-2)*(Overview!$M$3:$M$62&gt;=ROW()-2)),Overview!$T$3:$T$62),"")&amp;"_"&amp;IF(LEFT(LOWER(TRIM(F152)),3)="set",TRIM(F152),"Set"&amp;TRIM(F152))&amp;IF(Q152&lt;&gt;"","_"&amp;Q152,"")&amp;IF(E152&lt;&gt;"","_"&amp;E152,"")&amp;LOOKUP(2,1/((Overview!$L$3:$L$62&lt;=ROW()-2)*(Overview!$M$3:$M$62&gt;=ROW()-2)),Overview!$X$3:$X$62))</f>
        <v/>
      </c>
      <c r="X152" t="str">
        <f t="shared" si="13"/>
        <v/>
      </c>
    </row>
  </sheetData>
  <autoFilter ref="A2:S152" xr:uid="{00000000-0001-0000-0300-000000000000}"/>
  <mergeCells count="2">
    <mergeCell ref="A1:R1"/>
    <mergeCell ref="T1:U1"/>
  </mergeCells>
  <conditionalFormatting sqref="A3:S152">
    <cfRule type="expression" dxfId="1" priority="3" stopIfTrue="1">
      <formula>AND($AZ$1=TRUE,CELL("row")=ROW())</formula>
    </cfRule>
    <cfRule type="expression" dxfId="0" priority="1" stopIfTrue="1">
      <formula>AND($AZ$1=TRUE,ROW()=CELL("row"),COLUMN()=CELL("col"))</formula>
    </cfRule>
  </conditionalFormatting>
  <dataValidations count="1">
    <dataValidation type="list" sqref="AZ1" xr:uid="{00000000-0002-0000-0300-000000000000}">
      <formula1>"true,false"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77" r:id="rId3" name="PWBTN_State">
              <controlPr defaultSize="0" print="0" autoFill="0" autoPict="0" macro="[0]!PWToggleLiveState">
                <anchor>
                  <from>
                    <xdr:col>19</xdr:col>
                    <xdr:colOff>38100</xdr:colOff>
                    <xdr:row>1</xdr:row>
                    <xdr:rowOff>38100</xdr:rowOff>
                  </from>
                  <to>
                    <xdr:col>24</xdr:col>
                    <xdr:colOff>381000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4" name="PWBTN_Sync">
              <controlPr defaultSize="0" print="0" autoFill="0" autoPict="0" macro="[0]!PWSyncNow">
                <anchor>
                  <from>
                    <xdr:col>19</xdr:col>
                    <xdr:colOff>38100</xdr:colOff>
                    <xdr:row>2</xdr:row>
                    <xdr:rowOff>76200</xdr:rowOff>
                  </from>
                  <to>
                    <xdr:col>24</xdr:col>
                    <xdr:colOff>381000</xdr:colOff>
                    <xdr:row>4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5" name="PWBTN_Expand">
              <controlPr defaultSize="0" print="0" autoFill="0" autoPict="0" macro="[0]!PWExpandActiveSheet">
                <anchor>
                  <from>
                    <xdr:col>19</xdr:col>
                    <xdr:colOff>38100</xdr:colOff>
                    <xdr:row>4</xdr:row>
                    <xdr:rowOff>42863</xdr:rowOff>
                  </from>
                  <to>
                    <xdr:col>24</xdr:col>
                    <xdr:colOff>381000</xdr:colOff>
                    <xdr:row>5</xdr:row>
                    <xdr:rowOff>147638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6" name="PWBTN_Highlight">
              <controlPr defaultSize="0" print="0" autoFill="0" autoPict="0" macro="[0]!PWToggleActiveHighlight">
                <anchor>
                  <from>
                    <xdr:col>19</xdr:col>
                    <xdr:colOff>38100</xdr:colOff>
                    <xdr:row>6</xdr:row>
                    <xdr:rowOff>9525</xdr:rowOff>
                  </from>
                  <to>
                    <xdr:col>24</xdr:col>
                    <xdr:colOff>381000</xdr:colOff>
                    <xdr:row>7</xdr:row>
                    <xdr:rowOff>109538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7" name="PWBTN_Instructions">
              <controlPr defaultSize="0" print="0" autoFill="0" autoPict="0" macro="[0]!PWToggleInstructions">
                <anchor>
                  <from>
                    <xdr:col>19</xdr:col>
                    <xdr:colOff>38100</xdr:colOff>
                    <xdr:row>7</xdr:row>
                    <xdr:rowOff>147638</xdr:rowOff>
                  </from>
                  <to>
                    <xdr:col>24</xdr:col>
                    <xdr:colOff>381000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" name="PWBTN_Refresh">
              <controlPr defaultSize="0" print="0" autoFill="0" autoPict="0" macro="[0]!PWRefreshCurrentSheetVisuals">
                <anchor>
                  <from>
                    <xdr:col>19</xdr:col>
                    <xdr:colOff>38100</xdr:colOff>
                    <xdr:row>9</xdr:row>
                    <xdr:rowOff>114300</xdr:rowOff>
                  </from>
                  <to>
                    <xdr:col>24</xdr:col>
                    <xdr:colOff>381000</xdr:colOff>
                    <xdr:row>11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9" name="PWBTN_Rebuild">
              <controlPr defaultSize="0" print="0" autoFill="0" autoPict="0" macro="[0]!PWSetupWorkflowUI">
                <anchor>
                  <from>
                    <xdr:col>19</xdr:col>
                    <xdr:colOff>38100</xdr:colOff>
                    <xdr:row>11</xdr:row>
                    <xdr:rowOff>80963</xdr:rowOff>
                  </from>
                  <to>
                    <xdr:col>24</xdr:col>
                    <xdr:colOff>381000</xdr:colOff>
                    <xdr:row>13</xdr:row>
                    <xdr:rowOff>4763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10" name="PWBTN_Legend">
              <controlPr defaultSize="0" print="0" autoFill="0" autoPict="0" macro="[0]!PWToggleLegend">
                <anchor>
                  <from>
                    <xdr:col>19</xdr:col>
                    <xdr:colOff>38100</xdr:colOff>
                    <xdr:row>13</xdr:row>
                    <xdr:rowOff>42863</xdr:rowOff>
                  </from>
                  <to>
                    <xdr:col>24</xdr:col>
                    <xdr:colOff>381000</xdr:colOff>
                    <xdr:row>14</xdr:row>
                    <xdr:rowOff>147638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Arrangements</vt:lpstr>
      <vt:lpstr>Annotations</vt:lpstr>
      <vt:lpstr>Master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